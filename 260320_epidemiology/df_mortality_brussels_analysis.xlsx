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CRED\02_communication\courses\250328_epidemiology\data\"/>
    </mc:Choice>
  </mc:AlternateContent>
  <xr:revisionPtr revIDLastSave="0" documentId="13_ncr:9_{3E54430C-14AE-4731-BA90-4DC890DEDFF5}" xr6:coauthVersionLast="47" xr6:coauthVersionMax="47" xr10:uidLastSave="{00000000-0000-0000-0000-000000000000}"/>
  <bookViews>
    <workbookView xWindow="0" yWindow="225" windowWidth="28800" windowHeight="15375" firstSheet="2" activeTab="5" xr2:uid="{CA839BA7-20C2-45BF-A3BA-E70CA5642E4C}"/>
  </bookViews>
  <sheets>
    <sheet name="df_mortality_brussels" sheetId="1" r:id="rId1"/>
    <sheet name="week chart" sheetId="2" r:id="rId2"/>
    <sheet name="week chart - view" sheetId="3" r:id="rId3"/>
    <sheet name="log-mortity and histogram distr" sheetId="4" r:id="rId4"/>
    <sheet name="excess mortality simple" sheetId="5" r:id="rId5"/>
    <sheet name="excess mortality linear model" sheetId="6" r:id="rId6"/>
  </sheets>
  <definedNames>
    <definedName name="_xlnm._FilterDatabase" localSheetId="0" hidden="1">df_mortality_brussels!$A$1:$B$1</definedName>
    <definedName name="_xlchart.v1.0" hidden="1">'log-mortity and histogram distr'!$C$1</definedName>
    <definedName name="_xlchart.v1.1" hidden="1">'log-mortity and histogram distr'!$C$2:$C$470</definedName>
    <definedName name="_xlchart.v1.10" hidden="1">'excess mortality linear model'!#REF!</definedName>
    <definedName name="_xlchart.v1.11" hidden="1">'excess mortality linear model'!#REF!</definedName>
    <definedName name="_xlchart.v1.12" hidden="1">'excess mortality linear model'!$K$1</definedName>
    <definedName name="_xlchart.v1.13" hidden="1">'excess mortality linear model'!$K$2:$K$470</definedName>
    <definedName name="_xlchart.v1.2" hidden="1">'log-mortity and histogram distr'!$E$2:$E$470</definedName>
    <definedName name="_xlchart.v1.3" hidden="1">'log-mortity and histogram distr'!$D$1</definedName>
    <definedName name="_xlchart.v1.4" hidden="1">'log-mortity and histogram distr'!$D$2:$D$470</definedName>
    <definedName name="_xlchart.v1.5" hidden="1">'log-mortity and histogram distr'!$B$1</definedName>
    <definedName name="_xlchart.v1.6" hidden="1">'log-mortity and histogram distr'!$B$2:$B$470</definedName>
    <definedName name="_xlchart.v1.7" hidden="1">'excess mortality linear model'!$J$2:$J$470</definedName>
    <definedName name="_xlchart.v1.8" hidden="1">'excess mortality linear model'!$I$1</definedName>
    <definedName name="_xlchart.v1.9" hidden="1">'excess mortality linear model'!$I$2:$I$470</definedName>
  </definedNames>
  <calcPr calcId="0"/>
</workbook>
</file>

<file path=xl/calcChain.xml><?xml version="1.0" encoding="utf-8"?>
<calcChain xmlns="http://schemas.openxmlformats.org/spreadsheetml/2006/main">
  <c r="S2" i="6" l="1"/>
  <c r="K14" i="6" s="1"/>
  <c r="L14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I2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2" i="6"/>
  <c r="C2" i="6" a="1"/>
  <c r="C2" i="6" s="1"/>
  <c r="N2" i="6" s="1" a="1"/>
  <c r="N2" i="6" s="1"/>
  <c r="H2" i="5"/>
  <c r="C2" i="5" a="1"/>
  <c r="C2" i="5" s="1"/>
  <c r="C2" i="4" a="1"/>
  <c r="C2" i="4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2" i="2"/>
  <c r="K457" i="6" l="1"/>
  <c r="L457" i="6" s="1"/>
  <c r="K250" i="6"/>
  <c r="L250" i="6" s="1"/>
  <c r="K452" i="6"/>
  <c r="L452" i="6" s="1"/>
  <c r="K385" i="6"/>
  <c r="L385" i="6" s="1"/>
  <c r="K313" i="6"/>
  <c r="L313" i="6" s="1"/>
  <c r="K241" i="6"/>
  <c r="L241" i="6" s="1"/>
  <c r="K169" i="6"/>
  <c r="L169" i="6" s="1"/>
  <c r="K178" i="6"/>
  <c r="L178" i="6" s="1"/>
  <c r="K445" i="6"/>
  <c r="L445" i="6" s="1"/>
  <c r="K382" i="6"/>
  <c r="L382" i="6" s="1"/>
  <c r="K310" i="6"/>
  <c r="L310" i="6" s="1"/>
  <c r="K238" i="6"/>
  <c r="L238" i="6" s="1"/>
  <c r="K166" i="6"/>
  <c r="L166" i="6" s="1"/>
  <c r="K322" i="6"/>
  <c r="L322" i="6" s="1"/>
  <c r="K442" i="6"/>
  <c r="L442" i="6" s="1"/>
  <c r="K373" i="6"/>
  <c r="L373" i="6" s="1"/>
  <c r="K301" i="6"/>
  <c r="L301" i="6" s="1"/>
  <c r="K229" i="6"/>
  <c r="L229" i="6" s="1"/>
  <c r="K157" i="6"/>
  <c r="L157" i="6" s="1"/>
  <c r="K397" i="6"/>
  <c r="L397" i="6" s="1"/>
  <c r="K454" i="6"/>
  <c r="L454" i="6" s="1"/>
  <c r="K433" i="6"/>
  <c r="L433" i="6" s="1"/>
  <c r="K370" i="6"/>
  <c r="L370" i="6" s="1"/>
  <c r="K298" i="6"/>
  <c r="L298" i="6" s="1"/>
  <c r="K226" i="6"/>
  <c r="L226" i="6" s="1"/>
  <c r="K145" i="6"/>
  <c r="L145" i="6" s="1"/>
  <c r="K394" i="6"/>
  <c r="L394" i="6" s="1"/>
  <c r="K430" i="6"/>
  <c r="L430" i="6" s="1"/>
  <c r="K361" i="6"/>
  <c r="L361" i="6" s="1"/>
  <c r="K289" i="6"/>
  <c r="L289" i="6" s="1"/>
  <c r="K217" i="6"/>
  <c r="L217" i="6" s="1"/>
  <c r="K133" i="6"/>
  <c r="L133" i="6" s="1"/>
  <c r="K421" i="6"/>
  <c r="L421" i="6" s="1"/>
  <c r="K358" i="6"/>
  <c r="L358" i="6" s="1"/>
  <c r="K286" i="6"/>
  <c r="L286" i="6" s="1"/>
  <c r="K214" i="6"/>
  <c r="L214" i="6" s="1"/>
  <c r="K121" i="6"/>
  <c r="L121" i="6" s="1"/>
  <c r="K253" i="6"/>
  <c r="L253" i="6" s="1"/>
  <c r="K418" i="6"/>
  <c r="L418" i="6" s="1"/>
  <c r="K349" i="6"/>
  <c r="L349" i="6" s="1"/>
  <c r="K277" i="6"/>
  <c r="L277" i="6" s="1"/>
  <c r="K205" i="6"/>
  <c r="L205" i="6" s="1"/>
  <c r="K109" i="6"/>
  <c r="L109" i="6" s="1"/>
  <c r="K469" i="6"/>
  <c r="L469" i="6" s="1"/>
  <c r="K416" i="6"/>
  <c r="L416" i="6" s="1"/>
  <c r="K346" i="6"/>
  <c r="L346" i="6" s="1"/>
  <c r="K274" i="6"/>
  <c r="L274" i="6" s="1"/>
  <c r="K202" i="6"/>
  <c r="L202" i="6" s="1"/>
  <c r="K97" i="6"/>
  <c r="L97" i="6" s="1"/>
  <c r="K181" i="6"/>
  <c r="L181" i="6" s="1"/>
  <c r="K466" i="6"/>
  <c r="L466" i="6" s="1"/>
  <c r="K409" i="6"/>
  <c r="L409" i="6" s="1"/>
  <c r="K337" i="6"/>
  <c r="L337" i="6" s="1"/>
  <c r="K265" i="6"/>
  <c r="L265" i="6" s="1"/>
  <c r="K193" i="6"/>
  <c r="L193" i="6" s="1"/>
  <c r="K85" i="6"/>
  <c r="L85" i="6" s="1"/>
  <c r="K325" i="6"/>
  <c r="L325" i="6" s="1"/>
  <c r="K464" i="6"/>
  <c r="L464" i="6" s="1"/>
  <c r="K406" i="6"/>
  <c r="L406" i="6" s="1"/>
  <c r="K334" i="6"/>
  <c r="L334" i="6" s="1"/>
  <c r="K262" i="6"/>
  <c r="L262" i="6" s="1"/>
  <c r="K190" i="6"/>
  <c r="L190" i="6" s="1"/>
  <c r="K73" i="6"/>
  <c r="L73" i="6" s="1"/>
  <c r="K61" i="6"/>
  <c r="L61" i="6" s="1"/>
  <c r="K49" i="6"/>
  <c r="L49" i="6" s="1"/>
  <c r="K37" i="6"/>
  <c r="L37" i="6" s="1"/>
  <c r="K25" i="6"/>
  <c r="L25" i="6" s="1"/>
  <c r="K13" i="6"/>
  <c r="L13" i="6" s="1"/>
  <c r="K468" i="6"/>
  <c r="L468" i="6" s="1"/>
  <c r="K456" i="6"/>
  <c r="L456" i="6" s="1"/>
  <c r="K444" i="6"/>
  <c r="L444" i="6" s="1"/>
  <c r="K432" i="6"/>
  <c r="L432" i="6" s="1"/>
  <c r="K420" i="6"/>
  <c r="L420" i="6" s="1"/>
  <c r="K408" i="6"/>
  <c r="L408" i="6" s="1"/>
  <c r="K396" i="6"/>
  <c r="L396" i="6" s="1"/>
  <c r="K384" i="6"/>
  <c r="L384" i="6" s="1"/>
  <c r="K372" i="6"/>
  <c r="L372" i="6" s="1"/>
  <c r="K360" i="6"/>
  <c r="L360" i="6" s="1"/>
  <c r="K348" i="6"/>
  <c r="L348" i="6" s="1"/>
  <c r="K336" i="6"/>
  <c r="L336" i="6" s="1"/>
  <c r="K324" i="6"/>
  <c r="L324" i="6" s="1"/>
  <c r="K312" i="6"/>
  <c r="L312" i="6" s="1"/>
  <c r="K300" i="6"/>
  <c r="L300" i="6" s="1"/>
  <c r="K288" i="6"/>
  <c r="L288" i="6" s="1"/>
  <c r="K276" i="6"/>
  <c r="L276" i="6" s="1"/>
  <c r="K264" i="6"/>
  <c r="L264" i="6" s="1"/>
  <c r="K252" i="6"/>
  <c r="L252" i="6" s="1"/>
  <c r="K240" i="6"/>
  <c r="L240" i="6" s="1"/>
  <c r="K228" i="6"/>
  <c r="L228" i="6" s="1"/>
  <c r="K216" i="6"/>
  <c r="L216" i="6" s="1"/>
  <c r="K204" i="6"/>
  <c r="L204" i="6" s="1"/>
  <c r="K192" i="6"/>
  <c r="L192" i="6" s="1"/>
  <c r="K180" i="6"/>
  <c r="L180" i="6" s="1"/>
  <c r="K168" i="6"/>
  <c r="L168" i="6" s="1"/>
  <c r="K156" i="6"/>
  <c r="L156" i="6" s="1"/>
  <c r="K144" i="6"/>
  <c r="L144" i="6" s="1"/>
  <c r="K132" i="6"/>
  <c r="L132" i="6" s="1"/>
  <c r="K120" i="6"/>
  <c r="L120" i="6" s="1"/>
  <c r="K108" i="6"/>
  <c r="L108" i="6" s="1"/>
  <c r="K96" i="6"/>
  <c r="L96" i="6" s="1"/>
  <c r="K84" i="6"/>
  <c r="L84" i="6" s="1"/>
  <c r="K72" i="6"/>
  <c r="L72" i="6" s="1"/>
  <c r="K60" i="6"/>
  <c r="L60" i="6" s="1"/>
  <c r="K48" i="6"/>
  <c r="L48" i="6" s="1"/>
  <c r="K36" i="6"/>
  <c r="L36" i="6" s="1"/>
  <c r="K24" i="6"/>
  <c r="L24" i="6" s="1"/>
  <c r="K12" i="6"/>
  <c r="L12" i="6" s="1"/>
  <c r="K467" i="6"/>
  <c r="L467" i="6" s="1"/>
  <c r="K455" i="6"/>
  <c r="L455" i="6" s="1"/>
  <c r="K443" i="6"/>
  <c r="L443" i="6" s="1"/>
  <c r="K431" i="6"/>
  <c r="L431" i="6" s="1"/>
  <c r="K419" i="6"/>
  <c r="L419" i="6" s="1"/>
  <c r="K407" i="6"/>
  <c r="L407" i="6" s="1"/>
  <c r="K395" i="6"/>
  <c r="L395" i="6" s="1"/>
  <c r="K383" i="6"/>
  <c r="L383" i="6" s="1"/>
  <c r="K371" i="6"/>
  <c r="L371" i="6" s="1"/>
  <c r="K359" i="6"/>
  <c r="L359" i="6" s="1"/>
  <c r="K347" i="6"/>
  <c r="L347" i="6" s="1"/>
  <c r="K335" i="6"/>
  <c r="L335" i="6" s="1"/>
  <c r="K323" i="6"/>
  <c r="L323" i="6" s="1"/>
  <c r="K311" i="6"/>
  <c r="L311" i="6" s="1"/>
  <c r="K299" i="6"/>
  <c r="L299" i="6" s="1"/>
  <c r="K287" i="6"/>
  <c r="L287" i="6" s="1"/>
  <c r="K275" i="6"/>
  <c r="L275" i="6" s="1"/>
  <c r="K263" i="6"/>
  <c r="L263" i="6" s="1"/>
  <c r="K251" i="6"/>
  <c r="L251" i="6" s="1"/>
  <c r="K239" i="6"/>
  <c r="L239" i="6" s="1"/>
  <c r="K227" i="6"/>
  <c r="L227" i="6" s="1"/>
  <c r="K215" i="6"/>
  <c r="L215" i="6" s="1"/>
  <c r="K203" i="6"/>
  <c r="L203" i="6" s="1"/>
  <c r="K191" i="6"/>
  <c r="L191" i="6" s="1"/>
  <c r="K179" i="6"/>
  <c r="L179" i="6" s="1"/>
  <c r="K167" i="6"/>
  <c r="L167" i="6" s="1"/>
  <c r="K155" i="6"/>
  <c r="L155" i="6" s="1"/>
  <c r="K143" i="6"/>
  <c r="L143" i="6" s="1"/>
  <c r="K131" i="6"/>
  <c r="L131" i="6" s="1"/>
  <c r="K119" i="6"/>
  <c r="L119" i="6" s="1"/>
  <c r="K107" i="6"/>
  <c r="L107" i="6" s="1"/>
  <c r="K95" i="6"/>
  <c r="L95" i="6" s="1"/>
  <c r="K83" i="6"/>
  <c r="L83" i="6" s="1"/>
  <c r="K71" i="6"/>
  <c r="L71" i="6" s="1"/>
  <c r="K59" i="6"/>
  <c r="L59" i="6" s="1"/>
  <c r="K47" i="6"/>
  <c r="L47" i="6" s="1"/>
  <c r="K35" i="6"/>
  <c r="L35" i="6" s="1"/>
  <c r="K23" i="6"/>
  <c r="L23" i="6" s="1"/>
  <c r="K11" i="6"/>
  <c r="L11" i="6" s="1"/>
  <c r="K154" i="6"/>
  <c r="L154" i="6" s="1"/>
  <c r="K142" i="6"/>
  <c r="L142" i="6" s="1"/>
  <c r="K130" i="6"/>
  <c r="L130" i="6" s="1"/>
  <c r="K118" i="6"/>
  <c r="L118" i="6" s="1"/>
  <c r="K106" i="6"/>
  <c r="L106" i="6" s="1"/>
  <c r="K94" i="6"/>
  <c r="L94" i="6" s="1"/>
  <c r="K82" i="6"/>
  <c r="L82" i="6" s="1"/>
  <c r="K70" i="6"/>
  <c r="L70" i="6" s="1"/>
  <c r="K58" i="6"/>
  <c r="L58" i="6" s="1"/>
  <c r="K46" i="6"/>
  <c r="L46" i="6" s="1"/>
  <c r="K34" i="6"/>
  <c r="L34" i="6" s="1"/>
  <c r="K22" i="6"/>
  <c r="L22" i="6" s="1"/>
  <c r="K10" i="6"/>
  <c r="L10" i="6" s="1"/>
  <c r="K465" i="6"/>
  <c r="L465" i="6" s="1"/>
  <c r="K453" i="6"/>
  <c r="L453" i="6" s="1"/>
  <c r="K441" i="6"/>
  <c r="L441" i="6" s="1"/>
  <c r="K429" i="6"/>
  <c r="L429" i="6" s="1"/>
  <c r="K417" i="6"/>
  <c r="L417" i="6" s="1"/>
  <c r="K405" i="6"/>
  <c r="L405" i="6" s="1"/>
  <c r="K393" i="6"/>
  <c r="L393" i="6" s="1"/>
  <c r="K381" i="6"/>
  <c r="L381" i="6" s="1"/>
  <c r="K369" i="6"/>
  <c r="L369" i="6" s="1"/>
  <c r="K357" i="6"/>
  <c r="L357" i="6" s="1"/>
  <c r="K345" i="6"/>
  <c r="L345" i="6" s="1"/>
  <c r="K333" i="6"/>
  <c r="L333" i="6" s="1"/>
  <c r="K321" i="6"/>
  <c r="L321" i="6" s="1"/>
  <c r="K309" i="6"/>
  <c r="L309" i="6" s="1"/>
  <c r="K297" i="6"/>
  <c r="L297" i="6" s="1"/>
  <c r="K285" i="6"/>
  <c r="L285" i="6" s="1"/>
  <c r="K273" i="6"/>
  <c r="L273" i="6" s="1"/>
  <c r="K261" i="6"/>
  <c r="L261" i="6" s="1"/>
  <c r="K249" i="6"/>
  <c r="L249" i="6" s="1"/>
  <c r="K237" i="6"/>
  <c r="L237" i="6" s="1"/>
  <c r="K225" i="6"/>
  <c r="L225" i="6" s="1"/>
  <c r="K213" i="6"/>
  <c r="L213" i="6" s="1"/>
  <c r="K201" i="6"/>
  <c r="L201" i="6" s="1"/>
  <c r="K189" i="6"/>
  <c r="L189" i="6" s="1"/>
  <c r="K177" i="6"/>
  <c r="L177" i="6" s="1"/>
  <c r="K165" i="6"/>
  <c r="L165" i="6" s="1"/>
  <c r="K153" i="6"/>
  <c r="L153" i="6" s="1"/>
  <c r="K141" i="6"/>
  <c r="L141" i="6" s="1"/>
  <c r="K129" i="6"/>
  <c r="L129" i="6" s="1"/>
  <c r="K117" i="6"/>
  <c r="L117" i="6" s="1"/>
  <c r="K105" i="6"/>
  <c r="L105" i="6" s="1"/>
  <c r="K93" i="6"/>
  <c r="L93" i="6" s="1"/>
  <c r="K81" i="6"/>
  <c r="L81" i="6" s="1"/>
  <c r="K69" i="6"/>
  <c r="L69" i="6" s="1"/>
  <c r="K57" i="6"/>
  <c r="L57" i="6" s="1"/>
  <c r="K45" i="6"/>
  <c r="L45" i="6" s="1"/>
  <c r="K33" i="6"/>
  <c r="L33" i="6" s="1"/>
  <c r="K21" i="6"/>
  <c r="L21" i="6" s="1"/>
  <c r="K9" i="6"/>
  <c r="L9" i="6" s="1"/>
  <c r="K440" i="6"/>
  <c r="L440" i="6" s="1"/>
  <c r="K392" i="6"/>
  <c r="L392" i="6" s="1"/>
  <c r="K344" i="6"/>
  <c r="L344" i="6" s="1"/>
  <c r="K308" i="6"/>
  <c r="L308" i="6" s="1"/>
  <c r="K272" i="6"/>
  <c r="L272" i="6" s="1"/>
  <c r="K236" i="6"/>
  <c r="L236" i="6" s="1"/>
  <c r="K224" i="6"/>
  <c r="L224" i="6" s="1"/>
  <c r="K188" i="6"/>
  <c r="L188" i="6" s="1"/>
  <c r="K116" i="6"/>
  <c r="L116" i="6" s="1"/>
  <c r="K8" i="6"/>
  <c r="L8" i="6" s="1"/>
  <c r="K463" i="6"/>
  <c r="L463" i="6" s="1"/>
  <c r="K451" i="6"/>
  <c r="L451" i="6" s="1"/>
  <c r="K439" i="6"/>
  <c r="L439" i="6" s="1"/>
  <c r="K427" i="6"/>
  <c r="L427" i="6" s="1"/>
  <c r="K415" i="6"/>
  <c r="L415" i="6" s="1"/>
  <c r="K403" i="6"/>
  <c r="L403" i="6" s="1"/>
  <c r="K391" i="6"/>
  <c r="L391" i="6" s="1"/>
  <c r="K379" i="6"/>
  <c r="L379" i="6" s="1"/>
  <c r="K367" i="6"/>
  <c r="L367" i="6" s="1"/>
  <c r="K355" i="6"/>
  <c r="L355" i="6" s="1"/>
  <c r="K343" i="6"/>
  <c r="L343" i="6" s="1"/>
  <c r="K331" i="6"/>
  <c r="L331" i="6" s="1"/>
  <c r="K319" i="6"/>
  <c r="L319" i="6" s="1"/>
  <c r="K307" i="6"/>
  <c r="L307" i="6" s="1"/>
  <c r="K295" i="6"/>
  <c r="L295" i="6" s="1"/>
  <c r="K283" i="6"/>
  <c r="L283" i="6" s="1"/>
  <c r="K271" i="6"/>
  <c r="L271" i="6" s="1"/>
  <c r="K259" i="6"/>
  <c r="L259" i="6" s="1"/>
  <c r="K247" i="6"/>
  <c r="L247" i="6" s="1"/>
  <c r="K235" i="6"/>
  <c r="L235" i="6" s="1"/>
  <c r="K223" i="6"/>
  <c r="L223" i="6" s="1"/>
  <c r="K211" i="6"/>
  <c r="L211" i="6" s="1"/>
  <c r="K199" i="6"/>
  <c r="L199" i="6" s="1"/>
  <c r="K187" i="6"/>
  <c r="L187" i="6" s="1"/>
  <c r="K175" i="6"/>
  <c r="L175" i="6" s="1"/>
  <c r="K163" i="6"/>
  <c r="L163" i="6" s="1"/>
  <c r="K151" i="6"/>
  <c r="L151" i="6" s="1"/>
  <c r="K139" i="6"/>
  <c r="L139" i="6" s="1"/>
  <c r="K127" i="6"/>
  <c r="L127" i="6" s="1"/>
  <c r="K115" i="6"/>
  <c r="L115" i="6" s="1"/>
  <c r="K103" i="6"/>
  <c r="L103" i="6" s="1"/>
  <c r="K91" i="6"/>
  <c r="L91" i="6" s="1"/>
  <c r="K79" i="6"/>
  <c r="L79" i="6" s="1"/>
  <c r="K67" i="6"/>
  <c r="L67" i="6" s="1"/>
  <c r="K55" i="6"/>
  <c r="L55" i="6" s="1"/>
  <c r="K43" i="6"/>
  <c r="L43" i="6" s="1"/>
  <c r="K31" i="6"/>
  <c r="L31" i="6" s="1"/>
  <c r="K19" i="6"/>
  <c r="L19" i="6" s="1"/>
  <c r="K7" i="6"/>
  <c r="L7" i="6" s="1"/>
  <c r="K380" i="6"/>
  <c r="L380" i="6" s="1"/>
  <c r="K32" i="6"/>
  <c r="L32" i="6" s="1"/>
  <c r="K462" i="6"/>
  <c r="L462" i="6" s="1"/>
  <c r="K450" i="6"/>
  <c r="L450" i="6" s="1"/>
  <c r="K438" i="6"/>
  <c r="L438" i="6" s="1"/>
  <c r="K426" i="6"/>
  <c r="L426" i="6" s="1"/>
  <c r="K414" i="6"/>
  <c r="L414" i="6" s="1"/>
  <c r="K402" i="6"/>
  <c r="L402" i="6" s="1"/>
  <c r="K390" i="6"/>
  <c r="L390" i="6" s="1"/>
  <c r="K378" i="6"/>
  <c r="L378" i="6" s="1"/>
  <c r="K366" i="6"/>
  <c r="L366" i="6" s="1"/>
  <c r="K354" i="6"/>
  <c r="L354" i="6" s="1"/>
  <c r="K342" i="6"/>
  <c r="L342" i="6" s="1"/>
  <c r="K330" i="6"/>
  <c r="L330" i="6" s="1"/>
  <c r="K318" i="6"/>
  <c r="L318" i="6" s="1"/>
  <c r="K306" i="6"/>
  <c r="L306" i="6" s="1"/>
  <c r="K294" i="6"/>
  <c r="L294" i="6" s="1"/>
  <c r="K282" i="6"/>
  <c r="L282" i="6" s="1"/>
  <c r="K270" i="6"/>
  <c r="L270" i="6" s="1"/>
  <c r="K258" i="6"/>
  <c r="L258" i="6" s="1"/>
  <c r="K246" i="6"/>
  <c r="L246" i="6" s="1"/>
  <c r="K234" i="6"/>
  <c r="L234" i="6" s="1"/>
  <c r="K222" i="6"/>
  <c r="L222" i="6" s="1"/>
  <c r="K210" i="6"/>
  <c r="L210" i="6" s="1"/>
  <c r="K198" i="6"/>
  <c r="L198" i="6" s="1"/>
  <c r="K186" i="6"/>
  <c r="L186" i="6" s="1"/>
  <c r="K174" i="6"/>
  <c r="L174" i="6" s="1"/>
  <c r="K162" i="6"/>
  <c r="L162" i="6" s="1"/>
  <c r="K150" i="6"/>
  <c r="L150" i="6" s="1"/>
  <c r="K138" i="6"/>
  <c r="L138" i="6" s="1"/>
  <c r="K126" i="6"/>
  <c r="L126" i="6" s="1"/>
  <c r="K114" i="6"/>
  <c r="L114" i="6" s="1"/>
  <c r="K102" i="6"/>
  <c r="L102" i="6" s="1"/>
  <c r="K90" i="6"/>
  <c r="L90" i="6" s="1"/>
  <c r="K78" i="6"/>
  <c r="L78" i="6" s="1"/>
  <c r="K66" i="6"/>
  <c r="L66" i="6" s="1"/>
  <c r="K54" i="6"/>
  <c r="L54" i="6" s="1"/>
  <c r="K42" i="6"/>
  <c r="L42" i="6" s="1"/>
  <c r="K30" i="6"/>
  <c r="L30" i="6" s="1"/>
  <c r="K18" i="6"/>
  <c r="L18" i="6" s="1"/>
  <c r="K6" i="6"/>
  <c r="L6" i="6" s="1"/>
  <c r="K20" i="6"/>
  <c r="L20" i="6" s="1"/>
  <c r="K461" i="6"/>
  <c r="L461" i="6" s="1"/>
  <c r="K449" i="6"/>
  <c r="L449" i="6" s="1"/>
  <c r="K437" i="6"/>
  <c r="L437" i="6" s="1"/>
  <c r="K425" i="6"/>
  <c r="L425" i="6" s="1"/>
  <c r="K413" i="6"/>
  <c r="L413" i="6" s="1"/>
  <c r="K401" i="6"/>
  <c r="L401" i="6" s="1"/>
  <c r="K389" i="6"/>
  <c r="L389" i="6" s="1"/>
  <c r="K377" i="6"/>
  <c r="L377" i="6" s="1"/>
  <c r="K365" i="6"/>
  <c r="L365" i="6" s="1"/>
  <c r="K353" i="6"/>
  <c r="L353" i="6" s="1"/>
  <c r="K341" i="6"/>
  <c r="L341" i="6" s="1"/>
  <c r="K329" i="6"/>
  <c r="L329" i="6" s="1"/>
  <c r="K317" i="6"/>
  <c r="L317" i="6" s="1"/>
  <c r="K305" i="6"/>
  <c r="L305" i="6" s="1"/>
  <c r="K293" i="6"/>
  <c r="L293" i="6" s="1"/>
  <c r="K281" i="6"/>
  <c r="L281" i="6" s="1"/>
  <c r="K269" i="6"/>
  <c r="L269" i="6" s="1"/>
  <c r="K257" i="6"/>
  <c r="L257" i="6" s="1"/>
  <c r="K245" i="6"/>
  <c r="L245" i="6" s="1"/>
  <c r="K233" i="6"/>
  <c r="L233" i="6" s="1"/>
  <c r="K221" i="6"/>
  <c r="L221" i="6" s="1"/>
  <c r="K209" i="6"/>
  <c r="L209" i="6" s="1"/>
  <c r="K197" i="6"/>
  <c r="L197" i="6" s="1"/>
  <c r="K185" i="6"/>
  <c r="L185" i="6" s="1"/>
  <c r="K173" i="6"/>
  <c r="L173" i="6" s="1"/>
  <c r="K161" i="6"/>
  <c r="L161" i="6" s="1"/>
  <c r="K149" i="6"/>
  <c r="L149" i="6" s="1"/>
  <c r="K137" i="6"/>
  <c r="L137" i="6" s="1"/>
  <c r="K125" i="6"/>
  <c r="L125" i="6" s="1"/>
  <c r="K113" i="6"/>
  <c r="L113" i="6" s="1"/>
  <c r="K101" i="6"/>
  <c r="L101" i="6" s="1"/>
  <c r="K89" i="6"/>
  <c r="L89" i="6" s="1"/>
  <c r="K77" i="6"/>
  <c r="L77" i="6" s="1"/>
  <c r="K65" i="6"/>
  <c r="L65" i="6" s="1"/>
  <c r="K53" i="6"/>
  <c r="L53" i="6" s="1"/>
  <c r="K41" i="6"/>
  <c r="L41" i="6" s="1"/>
  <c r="K29" i="6"/>
  <c r="L29" i="6" s="1"/>
  <c r="K17" i="6"/>
  <c r="L17" i="6" s="1"/>
  <c r="K5" i="6"/>
  <c r="L5" i="6" s="1"/>
  <c r="K332" i="6"/>
  <c r="L332" i="6" s="1"/>
  <c r="K44" i="6"/>
  <c r="L44" i="6" s="1"/>
  <c r="K460" i="6"/>
  <c r="L460" i="6" s="1"/>
  <c r="K448" i="6"/>
  <c r="L448" i="6" s="1"/>
  <c r="K436" i="6"/>
  <c r="L436" i="6" s="1"/>
  <c r="K424" i="6"/>
  <c r="L424" i="6" s="1"/>
  <c r="K412" i="6"/>
  <c r="L412" i="6" s="1"/>
  <c r="K400" i="6"/>
  <c r="L400" i="6" s="1"/>
  <c r="K388" i="6"/>
  <c r="L388" i="6" s="1"/>
  <c r="K376" i="6"/>
  <c r="L376" i="6" s="1"/>
  <c r="K364" i="6"/>
  <c r="L364" i="6" s="1"/>
  <c r="K352" i="6"/>
  <c r="L352" i="6" s="1"/>
  <c r="K340" i="6"/>
  <c r="L340" i="6" s="1"/>
  <c r="K328" i="6"/>
  <c r="L328" i="6" s="1"/>
  <c r="K316" i="6"/>
  <c r="L316" i="6" s="1"/>
  <c r="K304" i="6"/>
  <c r="L304" i="6" s="1"/>
  <c r="K292" i="6"/>
  <c r="L292" i="6" s="1"/>
  <c r="K280" i="6"/>
  <c r="L280" i="6" s="1"/>
  <c r="K268" i="6"/>
  <c r="L268" i="6" s="1"/>
  <c r="K256" i="6"/>
  <c r="L256" i="6" s="1"/>
  <c r="K244" i="6"/>
  <c r="L244" i="6" s="1"/>
  <c r="K232" i="6"/>
  <c r="L232" i="6" s="1"/>
  <c r="K220" i="6"/>
  <c r="L220" i="6" s="1"/>
  <c r="K208" i="6"/>
  <c r="L208" i="6" s="1"/>
  <c r="K196" i="6"/>
  <c r="L196" i="6" s="1"/>
  <c r="K184" i="6"/>
  <c r="L184" i="6" s="1"/>
  <c r="K172" i="6"/>
  <c r="L172" i="6" s="1"/>
  <c r="K160" i="6"/>
  <c r="L160" i="6" s="1"/>
  <c r="K148" i="6"/>
  <c r="L148" i="6" s="1"/>
  <c r="K136" i="6"/>
  <c r="L136" i="6" s="1"/>
  <c r="K124" i="6"/>
  <c r="L124" i="6" s="1"/>
  <c r="K112" i="6"/>
  <c r="L112" i="6" s="1"/>
  <c r="K100" i="6"/>
  <c r="L100" i="6" s="1"/>
  <c r="K88" i="6"/>
  <c r="L88" i="6" s="1"/>
  <c r="K76" i="6"/>
  <c r="L76" i="6" s="1"/>
  <c r="K64" i="6"/>
  <c r="L64" i="6" s="1"/>
  <c r="K52" i="6"/>
  <c r="L52" i="6" s="1"/>
  <c r="K40" i="6"/>
  <c r="L40" i="6" s="1"/>
  <c r="K28" i="6"/>
  <c r="L28" i="6" s="1"/>
  <c r="K16" i="6"/>
  <c r="L16" i="6" s="1"/>
  <c r="K4" i="6"/>
  <c r="L4" i="6" s="1"/>
  <c r="K368" i="6"/>
  <c r="L368" i="6" s="1"/>
  <c r="K296" i="6"/>
  <c r="L296" i="6" s="1"/>
  <c r="K260" i="6"/>
  <c r="L260" i="6" s="1"/>
  <c r="K200" i="6"/>
  <c r="L200" i="6" s="1"/>
  <c r="K164" i="6"/>
  <c r="L164" i="6" s="1"/>
  <c r="K140" i="6"/>
  <c r="L140" i="6" s="1"/>
  <c r="K104" i="6"/>
  <c r="L104" i="6" s="1"/>
  <c r="K80" i="6"/>
  <c r="L80" i="6" s="1"/>
  <c r="K68" i="6"/>
  <c r="L68" i="6" s="1"/>
  <c r="K2" i="6"/>
  <c r="L2" i="6" s="1"/>
  <c r="K459" i="6"/>
  <c r="L459" i="6" s="1"/>
  <c r="K447" i="6"/>
  <c r="L447" i="6" s="1"/>
  <c r="K435" i="6"/>
  <c r="L435" i="6" s="1"/>
  <c r="K423" i="6"/>
  <c r="L423" i="6" s="1"/>
  <c r="K411" i="6"/>
  <c r="L411" i="6" s="1"/>
  <c r="K399" i="6"/>
  <c r="L399" i="6" s="1"/>
  <c r="K387" i="6"/>
  <c r="L387" i="6" s="1"/>
  <c r="K375" i="6"/>
  <c r="L375" i="6" s="1"/>
  <c r="K363" i="6"/>
  <c r="L363" i="6" s="1"/>
  <c r="K351" i="6"/>
  <c r="L351" i="6" s="1"/>
  <c r="K339" i="6"/>
  <c r="L339" i="6" s="1"/>
  <c r="K327" i="6"/>
  <c r="L327" i="6" s="1"/>
  <c r="K315" i="6"/>
  <c r="L315" i="6" s="1"/>
  <c r="K303" i="6"/>
  <c r="L303" i="6" s="1"/>
  <c r="K291" i="6"/>
  <c r="L291" i="6" s="1"/>
  <c r="K279" i="6"/>
  <c r="L279" i="6" s="1"/>
  <c r="K267" i="6"/>
  <c r="L267" i="6" s="1"/>
  <c r="K255" i="6"/>
  <c r="L255" i="6" s="1"/>
  <c r="K243" i="6"/>
  <c r="L243" i="6" s="1"/>
  <c r="K231" i="6"/>
  <c r="L231" i="6" s="1"/>
  <c r="K219" i="6"/>
  <c r="L219" i="6" s="1"/>
  <c r="K207" i="6"/>
  <c r="L207" i="6" s="1"/>
  <c r="K195" i="6"/>
  <c r="L195" i="6" s="1"/>
  <c r="K183" i="6"/>
  <c r="L183" i="6" s="1"/>
  <c r="K171" i="6"/>
  <c r="L171" i="6" s="1"/>
  <c r="K159" i="6"/>
  <c r="L159" i="6" s="1"/>
  <c r="K147" i="6"/>
  <c r="L147" i="6" s="1"/>
  <c r="K135" i="6"/>
  <c r="L135" i="6" s="1"/>
  <c r="K123" i="6"/>
  <c r="L123" i="6" s="1"/>
  <c r="K111" i="6"/>
  <c r="L111" i="6" s="1"/>
  <c r="K99" i="6"/>
  <c r="L99" i="6" s="1"/>
  <c r="K87" i="6"/>
  <c r="L87" i="6" s="1"/>
  <c r="K75" i="6"/>
  <c r="L75" i="6" s="1"/>
  <c r="K63" i="6"/>
  <c r="L63" i="6" s="1"/>
  <c r="K51" i="6"/>
  <c r="L51" i="6" s="1"/>
  <c r="K39" i="6"/>
  <c r="L39" i="6" s="1"/>
  <c r="K27" i="6"/>
  <c r="L27" i="6" s="1"/>
  <c r="K15" i="6"/>
  <c r="L15" i="6" s="1"/>
  <c r="K3" i="6"/>
  <c r="L3" i="6" s="1"/>
  <c r="K428" i="6"/>
  <c r="L428" i="6" s="1"/>
  <c r="K404" i="6"/>
  <c r="L404" i="6" s="1"/>
  <c r="K356" i="6"/>
  <c r="L356" i="6" s="1"/>
  <c r="K320" i="6"/>
  <c r="L320" i="6" s="1"/>
  <c r="K284" i="6"/>
  <c r="L284" i="6" s="1"/>
  <c r="K248" i="6"/>
  <c r="L248" i="6" s="1"/>
  <c r="K212" i="6"/>
  <c r="L212" i="6" s="1"/>
  <c r="K176" i="6"/>
  <c r="L176" i="6" s="1"/>
  <c r="K152" i="6"/>
  <c r="L152" i="6" s="1"/>
  <c r="K128" i="6"/>
  <c r="L128" i="6" s="1"/>
  <c r="K92" i="6"/>
  <c r="L92" i="6" s="1"/>
  <c r="K56" i="6"/>
  <c r="L56" i="6" s="1"/>
  <c r="K470" i="6"/>
  <c r="L470" i="6" s="1"/>
  <c r="K458" i="6"/>
  <c r="L458" i="6" s="1"/>
  <c r="K446" i="6"/>
  <c r="L446" i="6" s="1"/>
  <c r="K434" i="6"/>
  <c r="L434" i="6" s="1"/>
  <c r="K422" i="6"/>
  <c r="L422" i="6" s="1"/>
  <c r="K410" i="6"/>
  <c r="L410" i="6" s="1"/>
  <c r="K398" i="6"/>
  <c r="L398" i="6" s="1"/>
  <c r="K386" i="6"/>
  <c r="L386" i="6" s="1"/>
  <c r="K374" i="6"/>
  <c r="L374" i="6" s="1"/>
  <c r="K362" i="6"/>
  <c r="L362" i="6" s="1"/>
  <c r="K350" i="6"/>
  <c r="L350" i="6" s="1"/>
  <c r="K338" i="6"/>
  <c r="L338" i="6" s="1"/>
  <c r="K326" i="6"/>
  <c r="L326" i="6" s="1"/>
  <c r="K314" i="6"/>
  <c r="L314" i="6" s="1"/>
  <c r="K302" i="6"/>
  <c r="L302" i="6" s="1"/>
  <c r="K290" i="6"/>
  <c r="L290" i="6" s="1"/>
  <c r="K278" i="6"/>
  <c r="L278" i="6" s="1"/>
  <c r="K266" i="6"/>
  <c r="L266" i="6" s="1"/>
  <c r="K254" i="6"/>
  <c r="L254" i="6" s="1"/>
  <c r="K242" i="6"/>
  <c r="L242" i="6" s="1"/>
  <c r="K230" i="6"/>
  <c r="L230" i="6" s="1"/>
  <c r="K218" i="6"/>
  <c r="L218" i="6" s="1"/>
  <c r="K206" i="6"/>
  <c r="L206" i="6" s="1"/>
  <c r="K194" i="6"/>
  <c r="L194" i="6" s="1"/>
  <c r="K182" i="6"/>
  <c r="L182" i="6" s="1"/>
  <c r="K170" i="6"/>
  <c r="L170" i="6" s="1"/>
  <c r="K158" i="6"/>
  <c r="L158" i="6" s="1"/>
  <c r="K146" i="6"/>
  <c r="L146" i="6" s="1"/>
  <c r="K134" i="6"/>
  <c r="L134" i="6" s="1"/>
  <c r="K122" i="6"/>
  <c r="L122" i="6" s="1"/>
  <c r="K110" i="6"/>
  <c r="L110" i="6" s="1"/>
  <c r="K98" i="6"/>
  <c r="L98" i="6" s="1"/>
  <c r="K86" i="6"/>
  <c r="L86" i="6" s="1"/>
  <c r="K74" i="6"/>
  <c r="L74" i="6" s="1"/>
  <c r="K62" i="6"/>
  <c r="L62" i="6" s="1"/>
  <c r="K50" i="6"/>
  <c r="L50" i="6" s="1"/>
  <c r="K38" i="6"/>
  <c r="L38" i="6" s="1"/>
  <c r="K26" i="6"/>
  <c r="L26" i="6" s="1"/>
  <c r="D3" i="5"/>
  <c r="E3" i="5" s="1"/>
  <c r="D409" i="5"/>
  <c r="E409" i="5" s="1"/>
  <c r="D265" i="5"/>
  <c r="E265" i="5" s="1"/>
  <c r="D85" i="5"/>
  <c r="E85" i="5" s="1"/>
  <c r="D468" i="5"/>
  <c r="E468" i="5" s="1"/>
  <c r="D312" i="5"/>
  <c r="E312" i="5" s="1"/>
  <c r="D96" i="5"/>
  <c r="E96" i="5" s="1"/>
  <c r="D287" i="5"/>
  <c r="E287" i="5" s="1"/>
  <c r="D470" i="5"/>
  <c r="E470" i="5" s="1"/>
  <c r="D458" i="5"/>
  <c r="E458" i="5" s="1"/>
  <c r="D446" i="5"/>
  <c r="E446" i="5" s="1"/>
  <c r="D434" i="5"/>
  <c r="E434" i="5" s="1"/>
  <c r="D422" i="5"/>
  <c r="E422" i="5" s="1"/>
  <c r="D410" i="5"/>
  <c r="E410" i="5" s="1"/>
  <c r="D398" i="5"/>
  <c r="E398" i="5" s="1"/>
  <c r="D386" i="5"/>
  <c r="E386" i="5" s="1"/>
  <c r="D374" i="5"/>
  <c r="E374" i="5" s="1"/>
  <c r="D362" i="5"/>
  <c r="E362" i="5" s="1"/>
  <c r="D350" i="5"/>
  <c r="E350" i="5" s="1"/>
  <c r="D338" i="5"/>
  <c r="E338" i="5" s="1"/>
  <c r="D326" i="5"/>
  <c r="E326" i="5" s="1"/>
  <c r="D314" i="5"/>
  <c r="E314" i="5" s="1"/>
  <c r="D302" i="5"/>
  <c r="E302" i="5" s="1"/>
  <c r="D290" i="5"/>
  <c r="E290" i="5" s="1"/>
  <c r="D278" i="5"/>
  <c r="E278" i="5" s="1"/>
  <c r="D266" i="5"/>
  <c r="E266" i="5" s="1"/>
  <c r="D254" i="5"/>
  <c r="E254" i="5" s="1"/>
  <c r="D242" i="5"/>
  <c r="E242" i="5" s="1"/>
  <c r="D230" i="5"/>
  <c r="E230" i="5" s="1"/>
  <c r="D218" i="5"/>
  <c r="E218" i="5" s="1"/>
  <c r="D206" i="5"/>
  <c r="E206" i="5" s="1"/>
  <c r="D194" i="5"/>
  <c r="E194" i="5" s="1"/>
  <c r="D182" i="5"/>
  <c r="E182" i="5" s="1"/>
  <c r="D170" i="5"/>
  <c r="E170" i="5" s="1"/>
  <c r="D158" i="5"/>
  <c r="E158" i="5" s="1"/>
  <c r="D146" i="5"/>
  <c r="E146" i="5" s="1"/>
  <c r="D134" i="5"/>
  <c r="E134" i="5" s="1"/>
  <c r="D122" i="5"/>
  <c r="E122" i="5" s="1"/>
  <c r="D110" i="5"/>
  <c r="E110" i="5" s="1"/>
  <c r="D98" i="5"/>
  <c r="E98" i="5" s="1"/>
  <c r="D86" i="5"/>
  <c r="E86" i="5" s="1"/>
  <c r="D74" i="5"/>
  <c r="E74" i="5" s="1"/>
  <c r="D62" i="5"/>
  <c r="E62" i="5" s="1"/>
  <c r="D50" i="5"/>
  <c r="E50" i="5" s="1"/>
  <c r="D38" i="5"/>
  <c r="E38" i="5" s="1"/>
  <c r="D26" i="5"/>
  <c r="E26" i="5" s="1"/>
  <c r="D14" i="5"/>
  <c r="E14" i="5" s="1"/>
  <c r="D421" i="5"/>
  <c r="E421" i="5" s="1"/>
  <c r="D337" i="5"/>
  <c r="E337" i="5" s="1"/>
  <c r="D277" i="5"/>
  <c r="E277" i="5" s="1"/>
  <c r="D217" i="5"/>
  <c r="E217" i="5" s="1"/>
  <c r="D181" i="5"/>
  <c r="E181" i="5" s="1"/>
  <c r="D133" i="5"/>
  <c r="E133" i="5" s="1"/>
  <c r="D109" i="5"/>
  <c r="E109" i="5" s="1"/>
  <c r="D37" i="5"/>
  <c r="E37" i="5" s="1"/>
  <c r="D456" i="5"/>
  <c r="E456" i="5" s="1"/>
  <c r="D372" i="5"/>
  <c r="E372" i="5" s="1"/>
  <c r="D264" i="5"/>
  <c r="E264" i="5" s="1"/>
  <c r="D156" i="5"/>
  <c r="E156" i="5" s="1"/>
  <c r="D36" i="5"/>
  <c r="E36" i="5" s="1"/>
  <c r="D407" i="5"/>
  <c r="E407" i="5" s="1"/>
  <c r="D335" i="5"/>
  <c r="E335" i="5" s="1"/>
  <c r="D251" i="5"/>
  <c r="E251" i="5" s="1"/>
  <c r="D179" i="5"/>
  <c r="E179" i="5" s="1"/>
  <c r="D107" i="5"/>
  <c r="E107" i="5" s="1"/>
  <c r="D23" i="5"/>
  <c r="E23" i="5" s="1"/>
  <c r="D466" i="5"/>
  <c r="E466" i="5" s="1"/>
  <c r="D454" i="5"/>
  <c r="E454" i="5" s="1"/>
  <c r="D442" i="5"/>
  <c r="E442" i="5" s="1"/>
  <c r="D430" i="5"/>
  <c r="E430" i="5" s="1"/>
  <c r="D418" i="5"/>
  <c r="E418" i="5" s="1"/>
  <c r="D406" i="5"/>
  <c r="E406" i="5" s="1"/>
  <c r="D394" i="5"/>
  <c r="E394" i="5" s="1"/>
  <c r="D382" i="5"/>
  <c r="E382" i="5" s="1"/>
  <c r="D370" i="5"/>
  <c r="E370" i="5" s="1"/>
  <c r="D358" i="5"/>
  <c r="E358" i="5" s="1"/>
  <c r="D346" i="5"/>
  <c r="E346" i="5" s="1"/>
  <c r="D334" i="5"/>
  <c r="E334" i="5" s="1"/>
  <c r="D322" i="5"/>
  <c r="E322" i="5" s="1"/>
  <c r="D310" i="5"/>
  <c r="E310" i="5" s="1"/>
  <c r="D298" i="5"/>
  <c r="E298" i="5" s="1"/>
  <c r="D286" i="5"/>
  <c r="E286" i="5" s="1"/>
  <c r="D274" i="5"/>
  <c r="E274" i="5" s="1"/>
  <c r="D262" i="5"/>
  <c r="E262" i="5" s="1"/>
  <c r="D250" i="5"/>
  <c r="E250" i="5" s="1"/>
  <c r="D238" i="5"/>
  <c r="E238" i="5" s="1"/>
  <c r="D226" i="5"/>
  <c r="E226" i="5" s="1"/>
  <c r="D214" i="5"/>
  <c r="E214" i="5" s="1"/>
  <c r="D202" i="5"/>
  <c r="E202" i="5" s="1"/>
  <c r="D190" i="5"/>
  <c r="E190" i="5" s="1"/>
  <c r="D178" i="5"/>
  <c r="E178" i="5" s="1"/>
  <c r="D166" i="5"/>
  <c r="E166" i="5" s="1"/>
  <c r="D154" i="5"/>
  <c r="E154" i="5" s="1"/>
  <c r="D142" i="5"/>
  <c r="E142" i="5" s="1"/>
  <c r="D130" i="5"/>
  <c r="E130" i="5" s="1"/>
  <c r="D118" i="5"/>
  <c r="E118" i="5" s="1"/>
  <c r="D106" i="5"/>
  <c r="E106" i="5" s="1"/>
  <c r="D94" i="5"/>
  <c r="E94" i="5" s="1"/>
  <c r="D82" i="5"/>
  <c r="E82" i="5" s="1"/>
  <c r="D70" i="5"/>
  <c r="E70" i="5" s="1"/>
  <c r="D58" i="5"/>
  <c r="E58" i="5" s="1"/>
  <c r="D46" i="5"/>
  <c r="E46" i="5" s="1"/>
  <c r="D34" i="5"/>
  <c r="E34" i="5" s="1"/>
  <c r="D22" i="5"/>
  <c r="E22" i="5" s="1"/>
  <c r="D10" i="5"/>
  <c r="E10" i="5" s="1"/>
  <c r="D469" i="5"/>
  <c r="E469" i="5" s="1"/>
  <c r="D289" i="5"/>
  <c r="E289" i="5" s="1"/>
  <c r="D61" i="5"/>
  <c r="E61" i="5" s="1"/>
  <c r="D432" i="5"/>
  <c r="E432" i="5" s="1"/>
  <c r="D336" i="5"/>
  <c r="E336" i="5" s="1"/>
  <c r="D252" i="5"/>
  <c r="E252" i="5" s="1"/>
  <c r="D144" i="5"/>
  <c r="E144" i="5" s="1"/>
  <c r="D48" i="5"/>
  <c r="E48" i="5" s="1"/>
  <c r="D467" i="5"/>
  <c r="E467" i="5" s="1"/>
  <c r="D383" i="5"/>
  <c r="E383" i="5" s="1"/>
  <c r="D263" i="5"/>
  <c r="E263" i="5" s="1"/>
  <c r="D155" i="5"/>
  <c r="E155" i="5" s="1"/>
  <c r="D11" i="5"/>
  <c r="E11" i="5" s="1"/>
  <c r="D465" i="5"/>
  <c r="E465" i="5" s="1"/>
  <c r="D453" i="5"/>
  <c r="E453" i="5" s="1"/>
  <c r="D441" i="5"/>
  <c r="E441" i="5" s="1"/>
  <c r="D429" i="5"/>
  <c r="E429" i="5" s="1"/>
  <c r="D417" i="5"/>
  <c r="E417" i="5" s="1"/>
  <c r="D405" i="5"/>
  <c r="E405" i="5" s="1"/>
  <c r="D393" i="5"/>
  <c r="E393" i="5" s="1"/>
  <c r="D381" i="5"/>
  <c r="E381" i="5" s="1"/>
  <c r="D369" i="5"/>
  <c r="E369" i="5" s="1"/>
  <c r="D357" i="5"/>
  <c r="E357" i="5" s="1"/>
  <c r="D345" i="5"/>
  <c r="E345" i="5" s="1"/>
  <c r="D333" i="5"/>
  <c r="E333" i="5" s="1"/>
  <c r="D321" i="5"/>
  <c r="E321" i="5" s="1"/>
  <c r="D309" i="5"/>
  <c r="E309" i="5" s="1"/>
  <c r="D297" i="5"/>
  <c r="E297" i="5" s="1"/>
  <c r="D285" i="5"/>
  <c r="E285" i="5" s="1"/>
  <c r="D273" i="5"/>
  <c r="E273" i="5" s="1"/>
  <c r="D261" i="5"/>
  <c r="E261" i="5" s="1"/>
  <c r="D249" i="5"/>
  <c r="E249" i="5" s="1"/>
  <c r="D237" i="5"/>
  <c r="E237" i="5" s="1"/>
  <c r="D225" i="5"/>
  <c r="E225" i="5" s="1"/>
  <c r="D213" i="5"/>
  <c r="E213" i="5" s="1"/>
  <c r="D201" i="5"/>
  <c r="E201" i="5" s="1"/>
  <c r="D189" i="5"/>
  <c r="E189" i="5" s="1"/>
  <c r="D177" i="5"/>
  <c r="E177" i="5" s="1"/>
  <c r="D165" i="5"/>
  <c r="E165" i="5" s="1"/>
  <c r="D153" i="5"/>
  <c r="E153" i="5" s="1"/>
  <c r="D141" i="5"/>
  <c r="E141" i="5" s="1"/>
  <c r="D129" i="5"/>
  <c r="E129" i="5" s="1"/>
  <c r="D117" i="5"/>
  <c r="E117" i="5" s="1"/>
  <c r="D105" i="5"/>
  <c r="E105" i="5" s="1"/>
  <c r="D93" i="5"/>
  <c r="E93" i="5" s="1"/>
  <c r="D81" i="5"/>
  <c r="E81" i="5" s="1"/>
  <c r="D69" i="5"/>
  <c r="E69" i="5" s="1"/>
  <c r="D57" i="5"/>
  <c r="E57" i="5" s="1"/>
  <c r="D45" i="5"/>
  <c r="E45" i="5" s="1"/>
  <c r="D33" i="5"/>
  <c r="E33" i="5" s="1"/>
  <c r="D21" i="5"/>
  <c r="E21" i="5" s="1"/>
  <c r="D9" i="5"/>
  <c r="E9" i="5" s="1"/>
  <c r="D373" i="5"/>
  <c r="E373" i="5" s="1"/>
  <c r="D97" i="5"/>
  <c r="E97" i="5" s="1"/>
  <c r="D444" i="5"/>
  <c r="E444" i="5" s="1"/>
  <c r="D324" i="5"/>
  <c r="E324" i="5" s="1"/>
  <c r="D204" i="5"/>
  <c r="E204" i="5" s="1"/>
  <c r="D60" i="5"/>
  <c r="E60" i="5" s="1"/>
  <c r="D419" i="5"/>
  <c r="E419" i="5" s="1"/>
  <c r="D311" i="5"/>
  <c r="E311" i="5" s="1"/>
  <c r="D203" i="5"/>
  <c r="E203" i="5" s="1"/>
  <c r="D47" i="5"/>
  <c r="E47" i="5" s="1"/>
  <c r="D464" i="5"/>
  <c r="E464" i="5" s="1"/>
  <c r="D452" i="5"/>
  <c r="E452" i="5" s="1"/>
  <c r="D440" i="5"/>
  <c r="E440" i="5" s="1"/>
  <c r="D428" i="5"/>
  <c r="E428" i="5" s="1"/>
  <c r="D416" i="5"/>
  <c r="E416" i="5" s="1"/>
  <c r="D404" i="5"/>
  <c r="E404" i="5" s="1"/>
  <c r="D392" i="5"/>
  <c r="E392" i="5" s="1"/>
  <c r="D380" i="5"/>
  <c r="E380" i="5" s="1"/>
  <c r="D368" i="5"/>
  <c r="E368" i="5" s="1"/>
  <c r="D356" i="5"/>
  <c r="E356" i="5" s="1"/>
  <c r="D344" i="5"/>
  <c r="E344" i="5" s="1"/>
  <c r="D332" i="5"/>
  <c r="E332" i="5" s="1"/>
  <c r="D320" i="5"/>
  <c r="E320" i="5" s="1"/>
  <c r="D308" i="5"/>
  <c r="E308" i="5" s="1"/>
  <c r="D296" i="5"/>
  <c r="E296" i="5" s="1"/>
  <c r="D284" i="5"/>
  <c r="E284" i="5" s="1"/>
  <c r="D272" i="5"/>
  <c r="E272" i="5" s="1"/>
  <c r="D260" i="5"/>
  <c r="E260" i="5" s="1"/>
  <c r="D248" i="5"/>
  <c r="E248" i="5" s="1"/>
  <c r="D236" i="5"/>
  <c r="E236" i="5" s="1"/>
  <c r="D224" i="5"/>
  <c r="E224" i="5" s="1"/>
  <c r="D212" i="5"/>
  <c r="E212" i="5" s="1"/>
  <c r="D200" i="5"/>
  <c r="E200" i="5" s="1"/>
  <c r="D188" i="5"/>
  <c r="E188" i="5" s="1"/>
  <c r="D176" i="5"/>
  <c r="E176" i="5" s="1"/>
  <c r="D164" i="5"/>
  <c r="E164" i="5" s="1"/>
  <c r="D152" i="5"/>
  <c r="E152" i="5" s="1"/>
  <c r="D140" i="5"/>
  <c r="E140" i="5" s="1"/>
  <c r="D128" i="5"/>
  <c r="E128" i="5" s="1"/>
  <c r="D116" i="5"/>
  <c r="E116" i="5" s="1"/>
  <c r="D104" i="5"/>
  <c r="E104" i="5" s="1"/>
  <c r="D92" i="5"/>
  <c r="E92" i="5" s="1"/>
  <c r="D80" i="5"/>
  <c r="E80" i="5" s="1"/>
  <c r="D68" i="5"/>
  <c r="E68" i="5" s="1"/>
  <c r="D56" i="5"/>
  <c r="E56" i="5" s="1"/>
  <c r="D44" i="5"/>
  <c r="E44" i="5" s="1"/>
  <c r="D32" i="5"/>
  <c r="E32" i="5" s="1"/>
  <c r="D20" i="5"/>
  <c r="E20" i="5" s="1"/>
  <c r="D8" i="5"/>
  <c r="E8" i="5" s="1"/>
  <c r="D445" i="5"/>
  <c r="E445" i="5" s="1"/>
  <c r="D397" i="5"/>
  <c r="E397" i="5" s="1"/>
  <c r="D325" i="5"/>
  <c r="E325" i="5" s="1"/>
  <c r="D253" i="5"/>
  <c r="E253" i="5" s="1"/>
  <c r="D157" i="5"/>
  <c r="E157" i="5" s="1"/>
  <c r="D25" i="5"/>
  <c r="E25" i="5" s="1"/>
  <c r="D420" i="5"/>
  <c r="E420" i="5" s="1"/>
  <c r="D360" i="5"/>
  <c r="E360" i="5" s="1"/>
  <c r="D288" i="5"/>
  <c r="E288" i="5" s="1"/>
  <c r="D228" i="5"/>
  <c r="E228" i="5" s="1"/>
  <c r="D192" i="5"/>
  <c r="E192" i="5" s="1"/>
  <c r="D132" i="5"/>
  <c r="E132" i="5" s="1"/>
  <c r="D108" i="5"/>
  <c r="E108" i="5" s="1"/>
  <c r="D24" i="5"/>
  <c r="E24" i="5" s="1"/>
  <c r="D455" i="5"/>
  <c r="E455" i="5" s="1"/>
  <c r="D395" i="5"/>
  <c r="E395" i="5" s="1"/>
  <c r="D359" i="5"/>
  <c r="E359" i="5" s="1"/>
  <c r="D299" i="5"/>
  <c r="E299" i="5" s="1"/>
  <c r="D239" i="5"/>
  <c r="E239" i="5" s="1"/>
  <c r="D191" i="5"/>
  <c r="E191" i="5" s="1"/>
  <c r="D131" i="5"/>
  <c r="E131" i="5" s="1"/>
  <c r="D95" i="5"/>
  <c r="E95" i="5" s="1"/>
  <c r="D35" i="5"/>
  <c r="E35" i="5" s="1"/>
  <c r="D463" i="5"/>
  <c r="E463" i="5" s="1"/>
  <c r="D451" i="5"/>
  <c r="E451" i="5" s="1"/>
  <c r="D439" i="5"/>
  <c r="E439" i="5" s="1"/>
  <c r="D427" i="5"/>
  <c r="E427" i="5" s="1"/>
  <c r="D415" i="5"/>
  <c r="E415" i="5" s="1"/>
  <c r="D403" i="5"/>
  <c r="E403" i="5" s="1"/>
  <c r="D391" i="5"/>
  <c r="E391" i="5" s="1"/>
  <c r="D379" i="5"/>
  <c r="E379" i="5" s="1"/>
  <c r="D367" i="5"/>
  <c r="E367" i="5" s="1"/>
  <c r="D355" i="5"/>
  <c r="E355" i="5" s="1"/>
  <c r="D343" i="5"/>
  <c r="E343" i="5" s="1"/>
  <c r="D331" i="5"/>
  <c r="E331" i="5" s="1"/>
  <c r="D319" i="5"/>
  <c r="E319" i="5" s="1"/>
  <c r="D307" i="5"/>
  <c r="E307" i="5" s="1"/>
  <c r="D295" i="5"/>
  <c r="E295" i="5" s="1"/>
  <c r="D283" i="5"/>
  <c r="E283" i="5" s="1"/>
  <c r="D271" i="5"/>
  <c r="E271" i="5" s="1"/>
  <c r="D259" i="5"/>
  <c r="E259" i="5" s="1"/>
  <c r="D247" i="5"/>
  <c r="E247" i="5" s="1"/>
  <c r="D235" i="5"/>
  <c r="E235" i="5" s="1"/>
  <c r="D223" i="5"/>
  <c r="E223" i="5" s="1"/>
  <c r="D211" i="5"/>
  <c r="E211" i="5" s="1"/>
  <c r="D199" i="5"/>
  <c r="E199" i="5" s="1"/>
  <c r="D187" i="5"/>
  <c r="E187" i="5" s="1"/>
  <c r="D175" i="5"/>
  <c r="E175" i="5" s="1"/>
  <c r="D163" i="5"/>
  <c r="E163" i="5" s="1"/>
  <c r="D151" i="5"/>
  <c r="E151" i="5" s="1"/>
  <c r="D139" i="5"/>
  <c r="E139" i="5" s="1"/>
  <c r="D127" i="5"/>
  <c r="E127" i="5" s="1"/>
  <c r="D115" i="5"/>
  <c r="E115" i="5" s="1"/>
  <c r="D103" i="5"/>
  <c r="E103" i="5" s="1"/>
  <c r="D91" i="5"/>
  <c r="E91" i="5" s="1"/>
  <c r="D79" i="5"/>
  <c r="E79" i="5" s="1"/>
  <c r="D67" i="5"/>
  <c r="E67" i="5" s="1"/>
  <c r="D55" i="5"/>
  <c r="E55" i="5" s="1"/>
  <c r="D43" i="5"/>
  <c r="E43" i="5" s="1"/>
  <c r="D31" i="5"/>
  <c r="E31" i="5" s="1"/>
  <c r="D19" i="5"/>
  <c r="E19" i="5" s="1"/>
  <c r="D7" i="5"/>
  <c r="E7" i="5" s="1"/>
  <c r="D349" i="5"/>
  <c r="E349" i="5" s="1"/>
  <c r="D205" i="5"/>
  <c r="E205" i="5" s="1"/>
  <c r="D73" i="5"/>
  <c r="E73" i="5" s="1"/>
  <c r="D396" i="5"/>
  <c r="E396" i="5" s="1"/>
  <c r="D300" i="5"/>
  <c r="E300" i="5" s="1"/>
  <c r="D240" i="5"/>
  <c r="E240" i="5" s="1"/>
  <c r="D168" i="5"/>
  <c r="E168" i="5" s="1"/>
  <c r="D72" i="5"/>
  <c r="E72" i="5" s="1"/>
  <c r="D443" i="5"/>
  <c r="E443" i="5" s="1"/>
  <c r="D347" i="5"/>
  <c r="E347" i="5" s="1"/>
  <c r="D227" i="5"/>
  <c r="E227" i="5" s="1"/>
  <c r="D143" i="5"/>
  <c r="E143" i="5" s="1"/>
  <c r="D71" i="5"/>
  <c r="E71" i="5" s="1"/>
  <c r="D462" i="5"/>
  <c r="E462" i="5" s="1"/>
  <c r="D450" i="5"/>
  <c r="E450" i="5" s="1"/>
  <c r="D438" i="5"/>
  <c r="E438" i="5" s="1"/>
  <c r="D426" i="5"/>
  <c r="E426" i="5" s="1"/>
  <c r="D414" i="5"/>
  <c r="E414" i="5" s="1"/>
  <c r="D402" i="5"/>
  <c r="E402" i="5" s="1"/>
  <c r="D390" i="5"/>
  <c r="E390" i="5" s="1"/>
  <c r="D378" i="5"/>
  <c r="E378" i="5" s="1"/>
  <c r="D366" i="5"/>
  <c r="E366" i="5" s="1"/>
  <c r="D354" i="5"/>
  <c r="E354" i="5" s="1"/>
  <c r="D342" i="5"/>
  <c r="E342" i="5" s="1"/>
  <c r="D330" i="5"/>
  <c r="E330" i="5" s="1"/>
  <c r="D318" i="5"/>
  <c r="E318" i="5" s="1"/>
  <c r="D306" i="5"/>
  <c r="E306" i="5" s="1"/>
  <c r="D294" i="5"/>
  <c r="E294" i="5" s="1"/>
  <c r="D282" i="5"/>
  <c r="E282" i="5" s="1"/>
  <c r="D270" i="5"/>
  <c r="E270" i="5" s="1"/>
  <c r="D258" i="5"/>
  <c r="E258" i="5" s="1"/>
  <c r="D246" i="5"/>
  <c r="E246" i="5" s="1"/>
  <c r="D234" i="5"/>
  <c r="E234" i="5" s="1"/>
  <c r="D222" i="5"/>
  <c r="E222" i="5" s="1"/>
  <c r="D210" i="5"/>
  <c r="E210" i="5" s="1"/>
  <c r="D198" i="5"/>
  <c r="E198" i="5" s="1"/>
  <c r="D186" i="5"/>
  <c r="E186" i="5" s="1"/>
  <c r="D174" i="5"/>
  <c r="E174" i="5" s="1"/>
  <c r="D162" i="5"/>
  <c r="E162" i="5" s="1"/>
  <c r="D150" i="5"/>
  <c r="E150" i="5" s="1"/>
  <c r="D138" i="5"/>
  <c r="E138" i="5" s="1"/>
  <c r="D126" i="5"/>
  <c r="E126" i="5" s="1"/>
  <c r="D114" i="5"/>
  <c r="E114" i="5" s="1"/>
  <c r="D102" i="5"/>
  <c r="E102" i="5" s="1"/>
  <c r="D90" i="5"/>
  <c r="E90" i="5" s="1"/>
  <c r="D78" i="5"/>
  <c r="E78" i="5" s="1"/>
  <c r="D66" i="5"/>
  <c r="E66" i="5" s="1"/>
  <c r="D54" i="5"/>
  <c r="E54" i="5" s="1"/>
  <c r="D42" i="5"/>
  <c r="E42" i="5" s="1"/>
  <c r="D30" i="5"/>
  <c r="E30" i="5" s="1"/>
  <c r="D18" i="5"/>
  <c r="E18" i="5" s="1"/>
  <c r="D6" i="5"/>
  <c r="E6" i="5" s="1"/>
  <c r="D457" i="5"/>
  <c r="E457" i="5" s="1"/>
  <c r="D385" i="5"/>
  <c r="E385" i="5" s="1"/>
  <c r="D313" i="5"/>
  <c r="E313" i="5" s="1"/>
  <c r="D229" i="5"/>
  <c r="E229" i="5" s="1"/>
  <c r="D169" i="5"/>
  <c r="E169" i="5" s="1"/>
  <c r="D13" i="5"/>
  <c r="E13" i="5" s="1"/>
  <c r="D408" i="5"/>
  <c r="E408" i="5" s="1"/>
  <c r="D348" i="5"/>
  <c r="E348" i="5" s="1"/>
  <c r="D276" i="5"/>
  <c r="E276" i="5" s="1"/>
  <c r="D216" i="5"/>
  <c r="E216" i="5" s="1"/>
  <c r="D180" i="5"/>
  <c r="E180" i="5" s="1"/>
  <c r="D120" i="5"/>
  <c r="E120" i="5" s="1"/>
  <c r="D12" i="5"/>
  <c r="E12" i="5" s="1"/>
  <c r="D431" i="5"/>
  <c r="E431" i="5" s="1"/>
  <c r="D371" i="5"/>
  <c r="E371" i="5" s="1"/>
  <c r="D275" i="5"/>
  <c r="E275" i="5" s="1"/>
  <c r="D215" i="5"/>
  <c r="E215" i="5" s="1"/>
  <c r="D167" i="5"/>
  <c r="E167" i="5" s="1"/>
  <c r="D119" i="5"/>
  <c r="E119" i="5" s="1"/>
  <c r="D83" i="5"/>
  <c r="E83" i="5" s="1"/>
  <c r="D59" i="5"/>
  <c r="E59" i="5" s="1"/>
  <c r="D461" i="5"/>
  <c r="E461" i="5" s="1"/>
  <c r="D449" i="5"/>
  <c r="E449" i="5" s="1"/>
  <c r="D437" i="5"/>
  <c r="E437" i="5" s="1"/>
  <c r="D425" i="5"/>
  <c r="E425" i="5" s="1"/>
  <c r="D413" i="5"/>
  <c r="E413" i="5" s="1"/>
  <c r="D401" i="5"/>
  <c r="E401" i="5" s="1"/>
  <c r="D389" i="5"/>
  <c r="E389" i="5" s="1"/>
  <c r="D377" i="5"/>
  <c r="E377" i="5" s="1"/>
  <c r="D365" i="5"/>
  <c r="E365" i="5" s="1"/>
  <c r="D353" i="5"/>
  <c r="E353" i="5" s="1"/>
  <c r="D341" i="5"/>
  <c r="E341" i="5" s="1"/>
  <c r="D329" i="5"/>
  <c r="E329" i="5" s="1"/>
  <c r="D317" i="5"/>
  <c r="E317" i="5" s="1"/>
  <c r="D305" i="5"/>
  <c r="E305" i="5" s="1"/>
  <c r="D293" i="5"/>
  <c r="E293" i="5" s="1"/>
  <c r="D281" i="5"/>
  <c r="E281" i="5" s="1"/>
  <c r="D269" i="5"/>
  <c r="E269" i="5" s="1"/>
  <c r="D257" i="5"/>
  <c r="E257" i="5" s="1"/>
  <c r="D245" i="5"/>
  <c r="E245" i="5" s="1"/>
  <c r="D233" i="5"/>
  <c r="E233" i="5" s="1"/>
  <c r="D221" i="5"/>
  <c r="E221" i="5" s="1"/>
  <c r="D209" i="5"/>
  <c r="E209" i="5" s="1"/>
  <c r="D197" i="5"/>
  <c r="E197" i="5" s="1"/>
  <c r="D185" i="5"/>
  <c r="E185" i="5" s="1"/>
  <c r="D173" i="5"/>
  <c r="E173" i="5" s="1"/>
  <c r="D161" i="5"/>
  <c r="E161" i="5" s="1"/>
  <c r="D149" i="5"/>
  <c r="E149" i="5" s="1"/>
  <c r="D137" i="5"/>
  <c r="E137" i="5" s="1"/>
  <c r="D125" i="5"/>
  <c r="E125" i="5" s="1"/>
  <c r="D113" i="5"/>
  <c r="E113" i="5" s="1"/>
  <c r="D101" i="5"/>
  <c r="E101" i="5" s="1"/>
  <c r="D89" i="5"/>
  <c r="E89" i="5" s="1"/>
  <c r="D77" i="5"/>
  <c r="E77" i="5" s="1"/>
  <c r="D65" i="5"/>
  <c r="E65" i="5" s="1"/>
  <c r="D53" i="5"/>
  <c r="E53" i="5" s="1"/>
  <c r="D41" i="5"/>
  <c r="E41" i="5" s="1"/>
  <c r="D29" i="5"/>
  <c r="E29" i="5" s="1"/>
  <c r="D17" i="5"/>
  <c r="E17" i="5" s="1"/>
  <c r="D5" i="5"/>
  <c r="E5" i="5" s="1"/>
  <c r="D460" i="5"/>
  <c r="E460" i="5" s="1"/>
  <c r="D448" i="5"/>
  <c r="E448" i="5" s="1"/>
  <c r="D436" i="5"/>
  <c r="E436" i="5" s="1"/>
  <c r="D424" i="5"/>
  <c r="E424" i="5" s="1"/>
  <c r="D412" i="5"/>
  <c r="E412" i="5" s="1"/>
  <c r="D400" i="5"/>
  <c r="E400" i="5" s="1"/>
  <c r="D388" i="5"/>
  <c r="E388" i="5" s="1"/>
  <c r="D376" i="5"/>
  <c r="E376" i="5" s="1"/>
  <c r="D364" i="5"/>
  <c r="E364" i="5" s="1"/>
  <c r="D352" i="5"/>
  <c r="E352" i="5" s="1"/>
  <c r="D340" i="5"/>
  <c r="E340" i="5" s="1"/>
  <c r="D328" i="5"/>
  <c r="E328" i="5" s="1"/>
  <c r="D316" i="5"/>
  <c r="E316" i="5" s="1"/>
  <c r="D304" i="5"/>
  <c r="E304" i="5" s="1"/>
  <c r="D292" i="5"/>
  <c r="E292" i="5" s="1"/>
  <c r="D280" i="5"/>
  <c r="E280" i="5" s="1"/>
  <c r="D268" i="5"/>
  <c r="E268" i="5" s="1"/>
  <c r="D256" i="5"/>
  <c r="E256" i="5" s="1"/>
  <c r="D244" i="5"/>
  <c r="E244" i="5" s="1"/>
  <c r="D232" i="5"/>
  <c r="E232" i="5" s="1"/>
  <c r="D220" i="5"/>
  <c r="E220" i="5" s="1"/>
  <c r="D208" i="5"/>
  <c r="E208" i="5" s="1"/>
  <c r="D196" i="5"/>
  <c r="E196" i="5" s="1"/>
  <c r="D184" i="5"/>
  <c r="E184" i="5" s="1"/>
  <c r="D172" i="5"/>
  <c r="E172" i="5" s="1"/>
  <c r="D160" i="5"/>
  <c r="E160" i="5" s="1"/>
  <c r="D148" i="5"/>
  <c r="E148" i="5" s="1"/>
  <c r="D136" i="5"/>
  <c r="E136" i="5" s="1"/>
  <c r="D124" i="5"/>
  <c r="E124" i="5" s="1"/>
  <c r="D112" i="5"/>
  <c r="E112" i="5" s="1"/>
  <c r="D100" i="5"/>
  <c r="E100" i="5" s="1"/>
  <c r="D88" i="5"/>
  <c r="E88" i="5" s="1"/>
  <c r="D76" i="5"/>
  <c r="E76" i="5" s="1"/>
  <c r="D64" i="5"/>
  <c r="E64" i="5" s="1"/>
  <c r="D52" i="5"/>
  <c r="E52" i="5" s="1"/>
  <c r="D40" i="5"/>
  <c r="E40" i="5" s="1"/>
  <c r="D28" i="5"/>
  <c r="E28" i="5" s="1"/>
  <c r="D16" i="5"/>
  <c r="E16" i="5" s="1"/>
  <c r="D4" i="5"/>
  <c r="E4" i="5" s="1"/>
  <c r="D433" i="5"/>
  <c r="E433" i="5" s="1"/>
  <c r="D361" i="5"/>
  <c r="E361" i="5" s="1"/>
  <c r="D301" i="5"/>
  <c r="E301" i="5" s="1"/>
  <c r="D241" i="5"/>
  <c r="E241" i="5" s="1"/>
  <c r="D193" i="5"/>
  <c r="E193" i="5" s="1"/>
  <c r="D145" i="5"/>
  <c r="E145" i="5" s="1"/>
  <c r="D121" i="5"/>
  <c r="E121" i="5" s="1"/>
  <c r="D49" i="5"/>
  <c r="E49" i="5" s="1"/>
  <c r="D384" i="5"/>
  <c r="E384" i="5" s="1"/>
  <c r="D84" i="5"/>
  <c r="E84" i="5" s="1"/>
  <c r="D323" i="5"/>
  <c r="E323" i="5" s="1"/>
  <c r="D2" i="5"/>
  <c r="E2" i="5" s="1"/>
  <c r="D459" i="5"/>
  <c r="E459" i="5" s="1"/>
  <c r="D447" i="5"/>
  <c r="E447" i="5" s="1"/>
  <c r="D435" i="5"/>
  <c r="E435" i="5" s="1"/>
  <c r="D423" i="5"/>
  <c r="E423" i="5" s="1"/>
  <c r="D411" i="5"/>
  <c r="E411" i="5" s="1"/>
  <c r="D399" i="5"/>
  <c r="E399" i="5" s="1"/>
  <c r="D387" i="5"/>
  <c r="E387" i="5" s="1"/>
  <c r="D375" i="5"/>
  <c r="E375" i="5" s="1"/>
  <c r="D363" i="5"/>
  <c r="E363" i="5" s="1"/>
  <c r="D351" i="5"/>
  <c r="E351" i="5" s="1"/>
  <c r="D339" i="5"/>
  <c r="E339" i="5" s="1"/>
  <c r="D327" i="5"/>
  <c r="E327" i="5" s="1"/>
  <c r="D315" i="5"/>
  <c r="E315" i="5" s="1"/>
  <c r="D303" i="5"/>
  <c r="E303" i="5" s="1"/>
  <c r="D291" i="5"/>
  <c r="E291" i="5" s="1"/>
  <c r="D279" i="5"/>
  <c r="E279" i="5" s="1"/>
  <c r="D267" i="5"/>
  <c r="E267" i="5" s="1"/>
  <c r="D255" i="5"/>
  <c r="E255" i="5" s="1"/>
  <c r="D243" i="5"/>
  <c r="E243" i="5" s="1"/>
  <c r="D231" i="5"/>
  <c r="E231" i="5" s="1"/>
  <c r="D219" i="5"/>
  <c r="E219" i="5" s="1"/>
  <c r="D207" i="5"/>
  <c r="E207" i="5" s="1"/>
  <c r="D195" i="5"/>
  <c r="E195" i="5" s="1"/>
  <c r="D183" i="5"/>
  <c r="E183" i="5" s="1"/>
  <c r="D171" i="5"/>
  <c r="E171" i="5" s="1"/>
  <c r="D159" i="5"/>
  <c r="E159" i="5" s="1"/>
  <c r="D147" i="5"/>
  <c r="E147" i="5" s="1"/>
  <c r="D135" i="5"/>
  <c r="E135" i="5" s="1"/>
  <c r="D123" i="5"/>
  <c r="E123" i="5" s="1"/>
  <c r="D111" i="5"/>
  <c r="E111" i="5" s="1"/>
  <c r="D99" i="5"/>
  <c r="E99" i="5" s="1"/>
  <c r="D87" i="5"/>
  <c r="E87" i="5" s="1"/>
  <c r="D75" i="5"/>
  <c r="E75" i="5" s="1"/>
  <c r="D63" i="5"/>
  <c r="E63" i="5" s="1"/>
  <c r="D51" i="5"/>
  <c r="E51" i="5" s="1"/>
  <c r="D39" i="5"/>
  <c r="E39" i="5" s="1"/>
  <c r="D27" i="5"/>
  <c r="E27" i="5" s="1"/>
  <c r="D15" i="5"/>
  <c r="E15" i="5" s="1"/>
  <c r="U2" i="6" l="1" a="1"/>
  <c r="U2" i="6" s="1"/>
  <c r="T2" i="6"/>
  <c r="H290" i="6"/>
  <c r="H28" i="6"/>
  <c r="H447" i="6"/>
  <c r="H25" i="6"/>
  <c r="H160" i="6"/>
  <c r="H435" i="6"/>
  <c r="H66" i="6"/>
  <c r="H53" i="6"/>
  <c r="H147" i="6"/>
  <c r="H172" i="6"/>
  <c r="H159" i="6"/>
  <c r="H184" i="6"/>
  <c r="H195" i="6"/>
  <c r="H220" i="6"/>
  <c r="H316" i="6"/>
  <c r="H291" i="6"/>
  <c r="H364" i="6"/>
  <c r="H135" i="6"/>
  <c r="H303" i="6"/>
  <c r="H131" i="6"/>
  <c r="H339" i="6"/>
  <c r="H95" i="6"/>
  <c r="H279" i="6"/>
  <c r="H423" i="6"/>
  <c r="H81" i="6"/>
  <c r="H221" i="6"/>
  <c r="H330" i="6"/>
  <c r="H367" i="6"/>
  <c r="H320" i="6"/>
  <c r="H333" i="6"/>
  <c r="H442" i="6"/>
  <c r="H252" i="6"/>
  <c r="H385" i="6"/>
  <c r="H351" i="6"/>
  <c r="H376" i="6"/>
  <c r="H54" i="6"/>
  <c r="H50" i="6"/>
  <c r="H467" i="6"/>
  <c r="H342" i="6"/>
  <c r="H235" i="6"/>
  <c r="H188" i="6"/>
  <c r="H251" i="6"/>
  <c r="H191" i="6"/>
  <c r="H111" i="6"/>
  <c r="H92" i="6"/>
  <c r="H397" i="6"/>
  <c r="H363" i="6"/>
  <c r="H388" i="6"/>
  <c r="H57" i="6"/>
  <c r="H4" i="6"/>
  <c r="H389" i="6"/>
  <c r="H210" i="6"/>
  <c r="H80" i="6"/>
  <c r="H391" i="6"/>
  <c r="H344" i="6"/>
  <c r="H213" i="6"/>
  <c r="H178" i="6"/>
  <c r="H466" i="6"/>
  <c r="H276" i="6"/>
  <c r="H242" i="6"/>
  <c r="H230" i="6"/>
  <c r="H48" i="6"/>
  <c r="H231" i="6"/>
  <c r="H375" i="6"/>
  <c r="H97" i="6"/>
  <c r="H256" i="6"/>
  <c r="H400" i="6"/>
  <c r="H59" i="6"/>
  <c r="H45" i="6"/>
  <c r="H30" i="6"/>
  <c r="H17" i="6"/>
  <c r="H99" i="6"/>
  <c r="H98" i="6"/>
  <c r="H257" i="6"/>
  <c r="H401" i="6"/>
  <c r="H31" i="6"/>
  <c r="H222" i="6"/>
  <c r="H366" i="6"/>
  <c r="H179" i="6"/>
  <c r="H104" i="6"/>
  <c r="H259" i="6"/>
  <c r="H403" i="6"/>
  <c r="H10" i="6"/>
  <c r="H212" i="6"/>
  <c r="H356" i="6"/>
  <c r="H36" i="6"/>
  <c r="H225" i="6"/>
  <c r="H369" i="6"/>
  <c r="H347" i="6"/>
  <c r="H190" i="6"/>
  <c r="H334" i="6"/>
  <c r="H38" i="6"/>
  <c r="H144" i="6"/>
  <c r="H288" i="6"/>
  <c r="H432" i="6"/>
  <c r="H266" i="6"/>
  <c r="H133" i="6"/>
  <c r="H277" i="6"/>
  <c r="H421" i="6"/>
  <c r="H254" i="6"/>
  <c r="H365" i="6"/>
  <c r="H32" i="6"/>
  <c r="H176" i="6"/>
  <c r="H86" i="6"/>
  <c r="H396" i="6"/>
  <c r="H182" i="6"/>
  <c r="H232" i="6"/>
  <c r="H16" i="6"/>
  <c r="H377" i="6"/>
  <c r="H110" i="6"/>
  <c r="H371" i="6"/>
  <c r="H201" i="6"/>
  <c r="H310" i="6"/>
  <c r="H408" i="6"/>
  <c r="H253" i="6"/>
  <c r="H24" i="6"/>
  <c r="H73" i="6"/>
  <c r="H42" i="6"/>
  <c r="H245" i="6"/>
  <c r="H167" i="6"/>
  <c r="H200" i="6"/>
  <c r="H275" i="6"/>
  <c r="H265" i="6"/>
  <c r="H72" i="6"/>
  <c r="H243" i="6"/>
  <c r="H387" i="6"/>
  <c r="H120" i="6"/>
  <c r="H268" i="6"/>
  <c r="H412" i="6"/>
  <c r="H47" i="6"/>
  <c r="H33" i="6"/>
  <c r="H18" i="6"/>
  <c r="H5" i="6"/>
  <c r="H87" i="6"/>
  <c r="H121" i="6"/>
  <c r="H269" i="6"/>
  <c r="H413" i="6"/>
  <c r="H55" i="6"/>
  <c r="H234" i="6"/>
  <c r="H378" i="6"/>
  <c r="H239" i="6"/>
  <c r="H123" i="6"/>
  <c r="H271" i="6"/>
  <c r="H415" i="6"/>
  <c r="H34" i="6"/>
  <c r="H224" i="6"/>
  <c r="H368" i="6"/>
  <c r="H60" i="6"/>
  <c r="H237" i="6"/>
  <c r="H381" i="6"/>
  <c r="H419" i="6"/>
  <c r="H202" i="6"/>
  <c r="H346" i="6"/>
  <c r="H155" i="6"/>
  <c r="H156" i="6"/>
  <c r="H300" i="6"/>
  <c r="H444" i="6"/>
  <c r="H278" i="6"/>
  <c r="H145" i="6"/>
  <c r="H289" i="6"/>
  <c r="H433" i="6"/>
  <c r="H470" i="6"/>
  <c r="H434" i="6"/>
  <c r="H446" i="6"/>
  <c r="H458" i="6"/>
  <c r="H395" i="6"/>
  <c r="H14" i="6"/>
  <c r="H287" i="6"/>
  <c r="H189" i="6"/>
  <c r="H154" i="6"/>
  <c r="H91" i="6"/>
  <c r="H194" i="6"/>
  <c r="H241" i="6"/>
  <c r="H207" i="6"/>
  <c r="H49" i="6"/>
  <c r="H69" i="6"/>
  <c r="H41" i="6"/>
  <c r="H233" i="6"/>
  <c r="H198" i="6"/>
  <c r="H56" i="6"/>
  <c r="H379" i="6"/>
  <c r="H332" i="6"/>
  <c r="H345" i="6"/>
  <c r="H166" i="6"/>
  <c r="H264" i="6"/>
  <c r="H218" i="6"/>
  <c r="H206" i="6"/>
  <c r="H219" i="6"/>
  <c r="H244" i="6"/>
  <c r="H71" i="6"/>
  <c r="H29" i="6"/>
  <c r="H74" i="6"/>
  <c r="H7" i="6"/>
  <c r="H354" i="6"/>
  <c r="H247" i="6"/>
  <c r="H443" i="6"/>
  <c r="H12" i="6"/>
  <c r="H357" i="6"/>
  <c r="H322" i="6"/>
  <c r="H132" i="6"/>
  <c r="H420" i="6"/>
  <c r="H115" i="6"/>
  <c r="H409" i="6"/>
  <c r="H96" i="6"/>
  <c r="H255" i="6"/>
  <c r="H399" i="6"/>
  <c r="H136" i="6"/>
  <c r="H280" i="6"/>
  <c r="H424" i="6"/>
  <c r="H35" i="6"/>
  <c r="H21" i="6"/>
  <c r="H6" i="6"/>
  <c r="H112" i="6"/>
  <c r="H75" i="6"/>
  <c r="H137" i="6"/>
  <c r="H281" i="6"/>
  <c r="H425" i="6"/>
  <c r="H79" i="6"/>
  <c r="H246" i="6"/>
  <c r="H390" i="6"/>
  <c r="H263" i="6"/>
  <c r="H139" i="6"/>
  <c r="H283" i="6"/>
  <c r="H427" i="6"/>
  <c r="H58" i="6"/>
  <c r="H236" i="6"/>
  <c r="H380" i="6"/>
  <c r="H84" i="6"/>
  <c r="H249" i="6"/>
  <c r="H393" i="6"/>
  <c r="H13" i="6"/>
  <c r="H214" i="6"/>
  <c r="H358" i="6"/>
  <c r="H227" i="6"/>
  <c r="H168" i="6"/>
  <c r="H312" i="6"/>
  <c r="H456" i="6"/>
  <c r="H302" i="6"/>
  <c r="H157" i="6"/>
  <c r="H301" i="6"/>
  <c r="H445" i="6"/>
  <c r="H314" i="6"/>
  <c r="H186" i="6"/>
  <c r="H223" i="6"/>
  <c r="H464" i="6"/>
  <c r="H298" i="6"/>
  <c r="H68" i="6"/>
  <c r="H83" i="6"/>
  <c r="H454" i="6"/>
  <c r="H118" i="6"/>
  <c r="H267" i="6"/>
  <c r="H411" i="6"/>
  <c r="H148" i="6"/>
  <c r="H292" i="6"/>
  <c r="H436" i="6"/>
  <c r="H23" i="6"/>
  <c r="H9" i="6"/>
  <c r="H125" i="6"/>
  <c r="H100" i="6"/>
  <c r="H63" i="6"/>
  <c r="H149" i="6"/>
  <c r="H293" i="6"/>
  <c r="H437" i="6"/>
  <c r="H103" i="6"/>
  <c r="H258" i="6"/>
  <c r="H402" i="6"/>
  <c r="H299" i="6"/>
  <c r="H151" i="6"/>
  <c r="H295" i="6"/>
  <c r="H439" i="6"/>
  <c r="H82" i="6"/>
  <c r="H248" i="6"/>
  <c r="H392" i="6"/>
  <c r="H108" i="6"/>
  <c r="H261" i="6"/>
  <c r="H405" i="6"/>
  <c r="H37" i="6"/>
  <c r="H226" i="6"/>
  <c r="H370" i="6"/>
  <c r="H311" i="6"/>
  <c r="H180" i="6"/>
  <c r="H324" i="6"/>
  <c r="H468" i="6"/>
  <c r="H326" i="6"/>
  <c r="H169" i="6"/>
  <c r="H313" i="6"/>
  <c r="H457" i="6"/>
  <c r="H338" i="6"/>
  <c r="H304" i="6"/>
  <c r="H448" i="6"/>
  <c r="H11" i="6"/>
  <c r="H126" i="6"/>
  <c r="H113" i="6"/>
  <c r="H88" i="6"/>
  <c r="H51" i="6"/>
  <c r="H161" i="6"/>
  <c r="H305" i="6"/>
  <c r="H449" i="6"/>
  <c r="H122" i="6"/>
  <c r="H270" i="6"/>
  <c r="H414" i="6"/>
  <c r="H335" i="6"/>
  <c r="H163" i="6"/>
  <c r="H307" i="6"/>
  <c r="H451" i="6"/>
  <c r="H106" i="6"/>
  <c r="H260" i="6"/>
  <c r="H404" i="6"/>
  <c r="H127" i="6"/>
  <c r="H273" i="6"/>
  <c r="H417" i="6"/>
  <c r="H61" i="6"/>
  <c r="H238" i="6"/>
  <c r="H382" i="6"/>
  <c r="H359" i="6"/>
  <c r="H192" i="6"/>
  <c r="H336" i="6"/>
  <c r="H22" i="6"/>
  <c r="H362" i="6"/>
  <c r="H181" i="6"/>
  <c r="H325" i="6"/>
  <c r="H469" i="6"/>
  <c r="H350" i="6"/>
  <c r="H460" i="6"/>
  <c r="H129" i="6"/>
  <c r="H114" i="6"/>
  <c r="H101" i="6"/>
  <c r="H76" i="6"/>
  <c r="H39" i="6"/>
  <c r="H173" i="6"/>
  <c r="H317" i="6"/>
  <c r="H461" i="6"/>
  <c r="H138" i="6"/>
  <c r="H282" i="6"/>
  <c r="H426" i="6"/>
  <c r="H383" i="6"/>
  <c r="H175" i="6"/>
  <c r="H319" i="6"/>
  <c r="H463" i="6"/>
  <c r="H124" i="6"/>
  <c r="H272" i="6"/>
  <c r="H416" i="6"/>
  <c r="H141" i="6"/>
  <c r="H285" i="6"/>
  <c r="H429" i="6"/>
  <c r="H85" i="6"/>
  <c r="H250" i="6"/>
  <c r="H394" i="6"/>
  <c r="H431" i="6"/>
  <c r="H204" i="6"/>
  <c r="H348" i="6"/>
  <c r="H70" i="6"/>
  <c r="H386" i="6"/>
  <c r="H193" i="6"/>
  <c r="H337" i="6"/>
  <c r="H46" i="6"/>
  <c r="H374" i="6"/>
  <c r="H328" i="6"/>
  <c r="H117" i="6"/>
  <c r="H102" i="6"/>
  <c r="H89" i="6"/>
  <c r="H64" i="6"/>
  <c r="H27" i="6"/>
  <c r="H185" i="6"/>
  <c r="H329" i="6"/>
  <c r="H130" i="6"/>
  <c r="H150" i="6"/>
  <c r="H294" i="6"/>
  <c r="H438" i="6"/>
  <c r="H407" i="6"/>
  <c r="H187" i="6"/>
  <c r="H331" i="6"/>
  <c r="H62" i="6"/>
  <c r="H140" i="6"/>
  <c r="H284" i="6"/>
  <c r="H428" i="6"/>
  <c r="H153" i="6"/>
  <c r="H297" i="6"/>
  <c r="H441" i="6"/>
  <c r="H109" i="6"/>
  <c r="H262" i="6"/>
  <c r="H406" i="6"/>
  <c r="H19" i="6"/>
  <c r="H216" i="6"/>
  <c r="H360" i="6"/>
  <c r="H116" i="6"/>
  <c r="H422" i="6"/>
  <c r="H205" i="6"/>
  <c r="H349" i="6"/>
  <c r="H94" i="6"/>
  <c r="H398" i="6"/>
  <c r="H315" i="6"/>
  <c r="H196" i="6"/>
  <c r="H105" i="6"/>
  <c r="H77" i="6"/>
  <c r="H197" i="6"/>
  <c r="H215" i="6"/>
  <c r="H306" i="6"/>
  <c r="H455" i="6"/>
  <c r="H143" i="6"/>
  <c r="H165" i="6"/>
  <c r="H43" i="6"/>
  <c r="H134" i="6"/>
  <c r="H171" i="6"/>
  <c r="H459" i="6"/>
  <c r="H340" i="6"/>
  <c r="H119" i="6"/>
  <c r="H90" i="6"/>
  <c r="H52" i="6"/>
  <c r="H15" i="6"/>
  <c r="H341" i="6"/>
  <c r="H162" i="6"/>
  <c r="H450" i="6"/>
  <c r="H199" i="6"/>
  <c r="H343" i="6"/>
  <c r="H152" i="6"/>
  <c r="H296" i="6"/>
  <c r="H440" i="6"/>
  <c r="H309" i="6"/>
  <c r="H453" i="6"/>
  <c r="H128" i="6"/>
  <c r="H274" i="6"/>
  <c r="H418" i="6"/>
  <c r="H228" i="6"/>
  <c r="H372" i="6"/>
  <c r="H146" i="6"/>
  <c r="H20" i="6"/>
  <c r="H217" i="6"/>
  <c r="H361" i="6"/>
  <c r="H410" i="6"/>
  <c r="H183" i="6"/>
  <c r="H327" i="6"/>
  <c r="H208" i="6"/>
  <c r="H352" i="6"/>
  <c r="H107" i="6"/>
  <c r="H93" i="6"/>
  <c r="H78" i="6"/>
  <c r="H65" i="6"/>
  <c r="H40" i="6"/>
  <c r="H3" i="6"/>
  <c r="H209" i="6"/>
  <c r="H353" i="6"/>
  <c r="H323" i="6"/>
  <c r="H174" i="6"/>
  <c r="H318" i="6"/>
  <c r="H462" i="6"/>
  <c r="H8" i="6"/>
  <c r="H211" i="6"/>
  <c r="H355" i="6"/>
  <c r="H203" i="6"/>
  <c r="H164" i="6"/>
  <c r="H308" i="6"/>
  <c r="H452" i="6"/>
  <c r="H177" i="6"/>
  <c r="H321" i="6"/>
  <c r="H465" i="6"/>
  <c r="H142" i="6"/>
  <c r="H286" i="6"/>
  <c r="H430" i="6"/>
  <c r="H67" i="6"/>
  <c r="H240" i="6"/>
  <c r="H384" i="6"/>
  <c r="H170" i="6"/>
  <c r="H44" i="6"/>
  <c r="H229" i="6"/>
  <c r="H373" i="6"/>
  <c r="H158" i="6"/>
  <c r="H26" i="6"/>
  <c r="I2" i="5"/>
  <c r="I128" i="6" l="1"/>
  <c r="I255" i="6"/>
  <c r="I216" i="6"/>
  <c r="I411" i="6"/>
  <c r="I99" i="6"/>
  <c r="I119" i="6"/>
  <c r="I417" i="6"/>
  <c r="I137" i="6"/>
  <c r="I245" i="6"/>
  <c r="I159" i="6"/>
  <c r="I229" i="6"/>
  <c r="I452" i="6"/>
  <c r="I209" i="6"/>
  <c r="I410" i="6"/>
  <c r="I440" i="6"/>
  <c r="I340" i="6"/>
  <c r="I105" i="6"/>
  <c r="I406" i="6"/>
  <c r="I407" i="6"/>
  <c r="I328" i="6"/>
  <c r="I85" i="6"/>
  <c r="I282" i="6"/>
  <c r="I469" i="6"/>
  <c r="I273" i="6"/>
  <c r="I449" i="6"/>
  <c r="I313" i="6"/>
  <c r="I108" i="6"/>
  <c r="I293" i="6"/>
  <c r="I118" i="6"/>
  <c r="I302" i="6"/>
  <c r="I236" i="6"/>
  <c r="I75" i="6"/>
  <c r="I115" i="6"/>
  <c r="I71" i="6"/>
  <c r="I233" i="6"/>
  <c r="I395" i="6"/>
  <c r="I155" i="6"/>
  <c r="I123" i="6"/>
  <c r="I47" i="6"/>
  <c r="I42" i="6"/>
  <c r="I182" i="6"/>
  <c r="I288" i="6"/>
  <c r="I403" i="6"/>
  <c r="I30" i="6"/>
  <c r="I466" i="6"/>
  <c r="I397" i="6"/>
  <c r="I351" i="6"/>
  <c r="I95" i="6"/>
  <c r="I172" i="6"/>
  <c r="I52" i="6"/>
  <c r="I414" i="6"/>
  <c r="I377" i="6"/>
  <c r="I197" i="6"/>
  <c r="I460" i="6"/>
  <c r="I301" i="6"/>
  <c r="I287" i="6"/>
  <c r="I167" i="6"/>
  <c r="I388" i="6"/>
  <c r="I177" i="6"/>
  <c r="I19" i="6"/>
  <c r="I426" i="6"/>
  <c r="I437" i="6"/>
  <c r="I14" i="6"/>
  <c r="I10" i="6"/>
  <c r="I279" i="6"/>
  <c r="I361" i="6"/>
  <c r="I262" i="6"/>
  <c r="I127" i="6"/>
  <c r="I149" i="6"/>
  <c r="I112" i="6"/>
  <c r="I41" i="6"/>
  <c r="I239" i="6"/>
  <c r="I412" i="6"/>
  <c r="I73" i="6"/>
  <c r="I144" i="6"/>
  <c r="I45" i="6"/>
  <c r="I385" i="6"/>
  <c r="I339" i="6"/>
  <c r="I147" i="6"/>
  <c r="I170" i="6"/>
  <c r="I164" i="6"/>
  <c r="I40" i="6"/>
  <c r="I217" i="6"/>
  <c r="I152" i="6"/>
  <c r="I171" i="6"/>
  <c r="I315" i="6"/>
  <c r="I109" i="6"/>
  <c r="I294" i="6"/>
  <c r="I46" i="6"/>
  <c r="I285" i="6"/>
  <c r="I461" i="6"/>
  <c r="I181" i="6"/>
  <c r="I404" i="6"/>
  <c r="I161" i="6"/>
  <c r="I326" i="6"/>
  <c r="I248" i="6"/>
  <c r="I63" i="6"/>
  <c r="I83" i="6"/>
  <c r="I312" i="6"/>
  <c r="I427" i="6"/>
  <c r="I6" i="6"/>
  <c r="I132" i="6"/>
  <c r="I219" i="6"/>
  <c r="I69" i="6"/>
  <c r="I446" i="6"/>
  <c r="I202" i="6"/>
  <c r="I378" i="6"/>
  <c r="I268" i="6"/>
  <c r="I24" i="6"/>
  <c r="I86" i="6"/>
  <c r="I38" i="6"/>
  <c r="I104" i="6"/>
  <c r="I59" i="6"/>
  <c r="I213" i="6"/>
  <c r="I111" i="6"/>
  <c r="I252" i="6"/>
  <c r="I131" i="6"/>
  <c r="I53" i="6"/>
  <c r="I465" i="6"/>
  <c r="I431" i="6"/>
  <c r="I258" i="6"/>
  <c r="I200" i="6"/>
  <c r="I90" i="6"/>
  <c r="I383" i="6"/>
  <c r="I103" i="6"/>
  <c r="I96" i="6"/>
  <c r="I18" i="6"/>
  <c r="I266" i="6"/>
  <c r="I423" i="6"/>
  <c r="I183" i="6"/>
  <c r="I117" i="6"/>
  <c r="I457" i="6"/>
  <c r="I380" i="6"/>
  <c r="I29" i="6"/>
  <c r="I33" i="6"/>
  <c r="I432" i="6"/>
  <c r="I363" i="6"/>
  <c r="I44" i="6"/>
  <c r="I296" i="6"/>
  <c r="I438" i="6"/>
  <c r="I138" i="6"/>
  <c r="I169" i="6"/>
  <c r="I456" i="6"/>
  <c r="I420" i="6"/>
  <c r="I458" i="6"/>
  <c r="I92" i="6"/>
  <c r="I384" i="6"/>
  <c r="I343" i="6"/>
  <c r="I398" i="6"/>
  <c r="I150" i="6"/>
  <c r="I141" i="6"/>
  <c r="I362" i="6"/>
  <c r="I51" i="6"/>
  <c r="I468" i="6"/>
  <c r="I82" i="6"/>
  <c r="I100" i="6"/>
  <c r="I68" i="6"/>
  <c r="I168" i="6"/>
  <c r="I283" i="6"/>
  <c r="I21" i="6"/>
  <c r="I322" i="6"/>
  <c r="I206" i="6"/>
  <c r="I49" i="6"/>
  <c r="I434" i="6"/>
  <c r="I419" i="6"/>
  <c r="I234" i="6"/>
  <c r="I120" i="6"/>
  <c r="I253" i="6"/>
  <c r="I176" i="6"/>
  <c r="I334" i="6"/>
  <c r="I179" i="6"/>
  <c r="I400" i="6"/>
  <c r="I344" i="6"/>
  <c r="I191" i="6"/>
  <c r="I442" i="6"/>
  <c r="I303" i="6"/>
  <c r="I66" i="6"/>
  <c r="I26" i="6"/>
  <c r="I89" i="6"/>
  <c r="I37" i="6"/>
  <c r="I5" i="6"/>
  <c r="I323" i="6"/>
  <c r="I394" i="6"/>
  <c r="I338" i="6"/>
  <c r="I281" i="6"/>
  <c r="I300" i="6"/>
  <c r="I16" i="6"/>
  <c r="I184" i="6"/>
  <c r="I353" i="6"/>
  <c r="I187" i="6"/>
  <c r="I122" i="6"/>
  <c r="I157" i="6"/>
  <c r="I409" i="6"/>
  <c r="I271" i="6"/>
  <c r="I232" i="6"/>
  <c r="I376" i="6"/>
  <c r="I308" i="6"/>
  <c r="I459" i="6"/>
  <c r="I374" i="6"/>
  <c r="I325" i="6"/>
  <c r="I392" i="6"/>
  <c r="I58" i="6"/>
  <c r="I244" i="6"/>
  <c r="I346" i="6"/>
  <c r="I178" i="6"/>
  <c r="I203" i="6"/>
  <c r="I134" i="6"/>
  <c r="I441" i="6"/>
  <c r="I337" i="6"/>
  <c r="I240" i="6"/>
  <c r="I355" i="6"/>
  <c r="I78" i="6"/>
  <c r="I146" i="6"/>
  <c r="I199" i="6"/>
  <c r="I43" i="6"/>
  <c r="I94" i="6"/>
  <c r="I297" i="6"/>
  <c r="I130" i="6"/>
  <c r="I193" i="6"/>
  <c r="I416" i="6"/>
  <c r="I173" i="6"/>
  <c r="I22" i="6"/>
  <c r="I106" i="6"/>
  <c r="I88" i="6"/>
  <c r="I324" i="6"/>
  <c r="I439" i="6"/>
  <c r="I125" i="6"/>
  <c r="I298" i="6"/>
  <c r="I227" i="6"/>
  <c r="I139" i="6"/>
  <c r="I35" i="6"/>
  <c r="I357" i="6"/>
  <c r="I218" i="6"/>
  <c r="I207" i="6"/>
  <c r="I470" i="6"/>
  <c r="I381" i="6"/>
  <c r="I55" i="6"/>
  <c r="I387" i="6"/>
  <c r="I408" i="6"/>
  <c r="I32" i="6"/>
  <c r="I190" i="6"/>
  <c r="I366" i="6"/>
  <c r="I256" i="6"/>
  <c r="I391" i="6"/>
  <c r="I251" i="6"/>
  <c r="I333" i="6"/>
  <c r="I135" i="6"/>
  <c r="I435" i="6"/>
  <c r="I62" i="6"/>
  <c r="I7" i="6"/>
  <c r="I327" i="6"/>
  <c r="I270" i="6"/>
  <c r="I56" i="6"/>
  <c r="I54" i="6"/>
  <c r="I309" i="6"/>
  <c r="I250" i="6"/>
  <c r="I261" i="6"/>
  <c r="I198" i="6"/>
  <c r="I276" i="6"/>
  <c r="I196" i="6"/>
  <c r="I305" i="6"/>
  <c r="I396" i="6"/>
  <c r="I65" i="6"/>
  <c r="I260" i="6"/>
  <c r="I67" i="6"/>
  <c r="I211" i="6"/>
  <c r="I93" i="6"/>
  <c r="I372" i="6"/>
  <c r="I450" i="6"/>
  <c r="I165" i="6"/>
  <c r="I349" i="6"/>
  <c r="I153" i="6"/>
  <c r="I329" i="6"/>
  <c r="I386" i="6"/>
  <c r="I272" i="6"/>
  <c r="I39" i="6"/>
  <c r="I336" i="6"/>
  <c r="I451" i="6"/>
  <c r="I113" i="6"/>
  <c r="I180" i="6"/>
  <c r="I295" i="6"/>
  <c r="I9" i="6"/>
  <c r="I464" i="6"/>
  <c r="I358" i="6"/>
  <c r="I263" i="6"/>
  <c r="I424" i="6"/>
  <c r="I12" i="6"/>
  <c r="I264" i="6"/>
  <c r="I241" i="6"/>
  <c r="I433" i="6"/>
  <c r="I237" i="6"/>
  <c r="I413" i="6"/>
  <c r="I243" i="6"/>
  <c r="I310" i="6"/>
  <c r="I365" i="6"/>
  <c r="I347" i="6"/>
  <c r="I222" i="6"/>
  <c r="I97" i="6"/>
  <c r="I80" i="6"/>
  <c r="I188" i="6"/>
  <c r="I320" i="6"/>
  <c r="I364" i="6"/>
  <c r="I160" i="6"/>
  <c r="I360" i="6"/>
  <c r="I379" i="6"/>
  <c r="I321" i="6"/>
  <c r="I102" i="6"/>
  <c r="I405" i="6"/>
  <c r="I74" i="6"/>
  <c r="I242" i="6"/>
  <c r="I373" i="6"/>
  <c r="I77" i="6"/>
  <c r="I350" i="6"/>
  <c r="I267" i="6"/>
  <c r="I156" i="6"/>
  <c r="I17" i="6"/>
  <c r="I3" i="6"/>
  <c r="I429" i="6"/>
  <c r="I454" i="6"/>
  <c r="I259" i="6"/>
  <c r="I20" i="6"/>
  <c r="I317" i="6"/>
  <c r="I430" i="6"/>
  <c r="I8" i="6"/>
  <c r="I107" i="6"/>
  <c r="I228" i="6"/>
  <c r="I162" i="6"/>
  <c r="I143" i="6"/>
  <c r="I205" i="6"/>
  <c r="I428" i="6"/>
  <c r="I185" i="6"/>
  <c r="I70" i="6"/>
  <c r="I124" i="6"/>
  <c r="I76" i="6"/>
  <c r="I192" i="6"/>
  <c r="I307" i="6"/>
  <c r="I126" i="6"/>
  <c r="I311" i="6"/>
  <c r="I151" i="6"/>
  <c r="I23" i="6"/>
  <c r="I223" i="6"/>
  <c r="I214" i="6"/>
  <c r="I390" i="6"/>
  <c r="I280" i="6"/>
  <c r="I443" i="6"/>
  <c r="I166" i="6"/>
  <c r="I194" i="6"/>
  <c r="I289" i="6"/>
  <c r="I60" i="6"/>
  <c r="I269" i="6"/>
  <c r="I72" i="6"/>
  <c r="I201" i="6"/>
  <c r="I254" i="6"/>
  <c r="I369" i="6"/>
  <c r="I31" i="6"/>
  <c r="I375" i="6"/>
  <c r="I210" i="6"/>
  <c r="I235" i="6"/>
  <c r="I367" i="6"/>
  <c r="I291" i="6"/>
  <c r="I25" i="6"/>
  <c r="I215" i="6"/>
  <c r="I304" i="6"/>
  <c r="I34" i="6"/>
  <c r="I453" i="6"/>
  <c r="J2" i="6"/>
  <c r="I129" i="6"/>
  <c r="I445" i="6"/>
  <c r="I189" i="6"/>
  <c r="I158" i="6"/>
  <c r="I331" i="6"/>
  <c r="I61" i="6"/>
  <c r="I84" i="6"/>
  <c r="I415" i="6"/>
  <c r="I212" i="6"/>
  <c r="I286" i="6"/>
  <c r="I462" i="6"/>
  <c r="I352" i="6"/>
  <c r="I418" i="6"/>
  <c r="I341" i="6"/>
  <c r="I455" i="6"/>
  <c r="I422" i="6"/>
  <c r="I284" i="6"/>
  <c r="I27" i="6"/>
  <c r="I348" i="6"/>
  <c r="I463" i="6"/>
  <c r="I101" i="6"/>
  <c r="I359" i="6"/>
  <c r="I163" i="6"/>
  <c r="I11" i="6"/>
  <c r="I370" i="6"/>
  <c r="I299" i="6"/>
  <c r="I436" i="6"/>
  <c r="I186" i="6"/>
  <c r="I13" i="6"/>
  <c r="I246" i="6"/>
  <c r="I136" i="6"/>
  <c r="I247" i="6"/>
  <c r="I345" i="6"/>
  <c r="I91" i="6"/>
  <c r="I145" i="6"/>
  <c r="I368" i="6"/>
  <c r="I121" i="6"/>
  <c r="I265" i="6"/>
  <c r="I371" i="6"/>
  <c r="I421" i="6"/>
  <c r="I225" i="6"/>
  <c r="I401" i="6"/>
  <c r="I231" i="6"/>
  <c r="I389" i="6"/>
  <c r="I342" i="6"/>
  <c r="I330" i="6"/>
  <c r="I316" i="6"/>
  <c r="I447" i="6"/>
  <c r="I142" i="6"/>
  <c r="I318" i="6"/>
  <c r="I208" i="6"/>
  <c r="I274" i="6"/>
  <c r="I15" i="6"/>
  <c r="I306" i="6"/>
  <c r="I116" i="6"/>
  <c r="I140" i="6"/>
  <c r="I64" i="6"/>
  <c r="I204" i="6"/>
  <c r="I319" i="6"/>
  <c r="I114" i="6"/>
  <c r="I382" i="6"/>
  <c r="I335" i="6"/>
  <c r="I448" i="6"/>
  <c r="I226" i="6"/>
  <c r="I402" i="6"/>
  <c r="I292" i="6"/>
  <c r="I314" i="6"/>
  <c r="I393" i="6"/>
  <c r="I79" i="6"/>
  <c r="I399" i="6"/>
  <c r="I354" i="6"/>
  <c r="I332" i="6"/>
  <c r="I154" i="6"/>
  <c r="I278" i="6"/>
  <c r="I224" i="6"/>
  <c r="I87" i="6"/>
  <c r="I275" i="6"/>
  <c r="I110" i="6"/>
  <c r="I277" i="6"/>
  <c r="I36" i="6"/>
  <c r="I257" i="6"/>
  <c r="I48" i="6"/>
  <c r="I4" i="6"/>
  <c r="I467" i="6"/>
  <c r="I221" i="6"/>
  <c r="I220" i="6"/>
  <c r="I28" i="6"/>
  <c r="I174" i="6"/>
  <c r="I175" i="6"/>
  <c r="I238" i="6"/>
  <c r="I148" i="6"/>
  <c r="I249" i="6"/>
  <c r="I425" i="6"/>
  <c r="I444" i="6"/>
  <c r="I133" i="6"/>
  <c r="I356" i="6"/>
  <c r="I98" i="6"/>
  <c r="I230" i="6"/>
  <c r="I57" i="6"/>
  <c r="I50" i="6"/>
  <c r="I81" i="6"/>
  <c r="I195" i="6"/>
  <c r="I29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<sst xmlns="http://schemas.openxmlformats.org/spreadsheetml/2006/main" count="47" uniqueCount="31">
  <si>
    <t>Week</t>
  </si>
  <si>
    <t>N° of Deaths</t>
  </si>
  <si>
    <t>Week Num</t>
  </si>
  <si>
    <t>Week Number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</si>
  <si>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</si>
  <si>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</si>
  <si>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</si>
  <si>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</si>
  <si>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</si>
  <si>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</si>
  <si>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</si>
  <si>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</si>
  <si>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</si>
  <si>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Year</t>
  </si>
  <si>
    <t>Mean</t>
  </si>
  <si>
    <t>Log-Mortality</t>
  </si>
  <si>
    <t>Percentile Threshold</t>
  </si>
  <si>
    <t>Percentile Value</t>
  </si>
  <si>
    <t>Excess Mortality</t>
  </si>
  <si>
    <t>Total Excess Mortality</t>
  </si>
  <si>
    <t>Excess Treshold</t>
  </si>
  <si>
    <t>Is_COVID19</t>
  </si>
  <si>
    <t>Time</t>
  </si>
  <si>
    <t>Sine Basis</t>
  </si>
  <si>
    <t>Cosine Basis</t>
  </si>
  <si>
    <t>Model Params</t>
  </si>
  <si>
    <t xml:space="preserve">Model </t>
  </si>
  <si>
    <t>Residuals</t>
  </si>
  <si>
    <t>Res excl. COVID19</t>
  </si>
  <si>
    <t>Upper limit</t>
  </si>
  <si>
    <t>Total Excess Mortality Covid19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</si>
</sst>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Brussels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df_mortality_brussels!$B$1</c:f>
              <c:strCache>
                <c:ptCount val="1"/>
                <c:pt idx="0">
                  <c:v>N° of Deaths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df_mortality_brussels!$A$2:$A$470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df_mortality_brussels!$B$2:$B$470</c:f>
              <c:numCache>
                <c:formatCode>General</c:formatCode>
                <c:ptCount val="469"/>
                <c:pt idx="0">
                  <c:v>232</c:v>
                </c:pt>
                <c:pt idx="1">
                  <c:v>194</c:v>
                </c:pt>
                <c:pt idx="2">
                  <c:v>226</c:v>
                </c:pt>
                <c:pt idx="3">
                  <c:v>211</c:v>
                </c:pt>
                <c:pt idx="4">
                  <c:v>243</c:v>
                </c:pt>
                <c:pt idx="5">
                  <c:v>241</c:v>
                </c:pt>
                <c:pt idx="6">
                  <c:v>228</c:v>
                </c:pt>
                <c:pt idx="7">
                  <c:v>235</c:v>
                </c:pt>
                <c:pt idx="8">
                  <c:v>224</c:v>
                </c:pt>
                <c:pt idx="9">
                  <c:v>212</c:v>
                </c:pt>
                <c:pt idx="10">
                  <c:v>191</c:v>
                </c:pt>
                <c:pt idx="11">
                  <c:v>177</c:v>
                </c:pt>
                <c:pt idx="12">
                  <c:v>200</c:v>
                </c:pt>
                <c:pt idx="13">
                  <c:v>170</c:v>
                </c:pt>
                <c:pt idx="14">
                  <c:v>178</c:v>
                </c:pt>
                <c:pt idx="15">
                  <c:v>177</c:v>
                </c:pt>
                <c:pt idx="16">
                  <c:v>167</c:v>
                </c:pt>
                <c:pt idx="17">
                  <c:v>179</c:v>
                </c:pt>
                <c:pt idx="18">
                  <c:v>147</c:v>
                </c:pt>
                <c:pt idx="19">
                  <c:v>155</c:v>
                </c:pt>
                <c:pt idx="20">
                  <c:v>171</c:v>
                </c:pt>
                <c:pt idx="21">
                  <c:v>153</c:v>
                </c:pt>
                <c:pt idx="22">
                  <c:v>170</c:v>
                </c:pt>
                <c:pt idx="23">
                  <c:v>163</c:v>
                </c:pt>
                <c:pt idx="24">
                  <c:v>152</c:v>
                </c:pt>
                <c:pt idx="25">
                  <c:v>194</c:v>
                </c:pt>
                <c:pt idx="26">
                  <c:v>184</c:v>
                </c:pt>
                <c:pt idx="27">
                  <c:v>145</c:v>
                </c:pt>
                <c:pt idx="28">
                  <c:v>145</c:v>
                </c:pt>
                <c:pt idx="29">
                  <c:v>166</c:v>
                </c:pt>
                <c:pt idx="30">
                  <c:v>192</c:v>
                </c:pt>
                <c:pt idx="31">
                  <c:v>157</c:v>
                </c:pt>
                <c:pt idx="32">
                  <c:v>138</c:v>
                </c:pt>
                <c:pt idx="33">
                  <c:v>173</c:v>
                </c:pt>
                <c:pt idx="34">
                  <c:v>161</c:v>
                </c:pt>
                <c:pt idx="35">
                  <c:v>149</c:v>
                </c:pt>
                <c:pt idx="36">
                  <c:v>155</c:v>
                </c:pt>
                <c:pt idx="37">
                  <c:v>160</c:v>
                </c:pt>
                <c:pt idx="38">
                  <c:v>176</c:v>
                </c:pt>
                <c:pt idx="39">
                  <c:v>182</c:v>
                </c:pt>
                <c:pt idx="40">
                  <c:v>166</c:v>
                </c:pt>
                <c:pt idx="41">
                  <c:v>178</c:v>
                </c:pt>
                <c:pt idx="42">
                  <c:v>165</c:v>
                </c:pt>
                <c:pt idx="43">
                  <c:v>163</c:v>
                </c:pt>
                <c:pt idx="44">
                  <c:v>171</c:v>
                </c:pt>
                <c:pt idx="45">
                  <c:v>194</c:v>
                </c:pt>
                <c:pt idx="46">
                  <c:v>176</c:v>
                </c:pt>
                <c:pt idx="47">
                  <c:v>147</c:v>
                </c:pt>
                <c:pt idx="48">
                  <c:v>176</c:v>
                </c:pt>
                <c:pt idx="49">
                  <c:v>156</c:v>
                </c:pt>
                <c:pt idx="50">
                  <c:v>151</c:v>
                </c:pt>
                <c:pt idx="51">
                  <c:v>163</c:v>
                </c:pt>
                <c:pt idx="52">
                  <c:v>171</c:v>
                </c:pt>
                <c:pt idx="53">
                  <c:v>191</c:v>
                </c:pt>
                <c:pt idx="54">
                  <c:v>182</c:v>
                </c:pt>
                <c:pt idx="55">
                  <c:v>195</c:v>
                </c:pt>
                <c:pt idx="56">
                  <c:v>192</c:v>
                </c:pt>
                <c:pt idx="57">
                  <c:v>167</c:v>
                </c:pt>
                <c:pt idx="58">
                  <c:v>166</c:v>
                </c:pt>
                <c:pt idx="59">
                  <c:v>192</c:v>
                </c:pt>
                <c:pt idx="60">
                  <c:v>186</c:v>
                </c:pt>
                <c:pt idx="61">
                  <c:v>194</c:v>
                </c:pt>
                <c:pt idx="62">
                  <c:v>193</c:v>
                </c:pt>
                <c:pt idx="63">
                  <c:v>232</c:v>
                </c:pt>
                <c:pt idx="64">
                  <c:v>179</c:v>
                </c:pt>
                <c:pt idx="65">
                  <c:v>157</c:v>
                </c:pt>
                <c:pt idx="66">
                  <c:v>178</c:v>
                </c:pt>
                <c:pt idx="67">
                  <c:v>179</c:v>
                </c:pt>
                <c:pt idx="68">
                  <c:v>168</c:v>
                </c:pt>
                <c:pt idx="69">
                  <c:v>177</c:v>
                </c:pt>
                <c:pt idx="70">
                  <c:v>177</c:v>
                </c:pt>
                <c:pt idx="71">
                  <c:v>146</c:v>
                </c:pt>
                <c:pt idx="72">
                  <c:v>172</c:v>
                </c:pt>
                <c:pt idx="73">
                  <c:v>151</c:v>
                </c:pt>
                <c:pt idx="74">
                  <c:v>146</c:v>
                </c:pt>
                <c:pt idx="75">
                  <c:v>178</c:v>
                </c:pt>
                <c:pt idx="76">
                  <c:v>162</c:v>
                </c:pt>
                <c:pt idx="77">
                  <c:v>155</c:v>
                </c:pt>
                <c:pt idx="78">
                  <c:v>155</c:v>
                </c:pt>
                <c:pt idx="79">
                  <c:v>160</c:v>
                </c:pt>
                <c:pt idx="80">
                  <c:v>193</c:v>
                </c:pt>
                <c:pt idx="81">
                  <c:v>166</c:v>
                </c:pt>
                <c:pt idx="82">
                  <c:v>144</c:v>
                </c:pt>
                <c:pt idx="83">
                  <c:v>167</c:v>
                </c:pt>
                <c:pt idx="84">
                  <c:v>149</c:v>
                </c:pt>
                <c:pt idx="85">
                  <c:v>178</c:v>
                </c:pt>
                <c:pt idx="86">
                  <c:v>155</c:v>
                </c:pt>
                <c:pt idx="87">
                  <c:v>156</c:v>
                </c:pt>
                <c:pt idx="88">
                  <c:v>166</c:v>
                </c:pt>
                <c:pt idx="89">
                  <c:v>133</c:v>
                </c:pt>
                <c:pt idx="90">
                  <c:v>165</c:v>
                </c:pt>
                <c:pt idx="91">
                  <c:v>155</c:v>
                </c:pt>
                <c:pt idx="92">
                  <c:v>170</c:v>
                </c:pt>
                <c:pt idx="93">
                  <c:v>181</c:v>
                </c:pt>
                <c:pt idx="94">
                  <c:v>165</c:v>
                </c:pt>
                <c:pt idx="95">
                  <c:v>165</c:v>
                </c:pt>
                <c:pt idx="96">
                  <c:v>193</c:v>
                </c:pt>
                <c:pt idx="97">
                  <c:v>190</c:v>
                </c:pt>
                <c:pt idx="98">
                  <c:v>186</c:v>
                </c:pt>
                <c:pt idx="99">
                  <c:v>192</c:v>
                </c:pt>
                <c:pt idx="100">
                  <c:v>178</c:v>
                </c:pt>
                <c:pt idx="101">
                  <c:v>194</c:v>
                </c:pt>
                <c:pt idx="102">
                  <c:v>158</c:v>
                </c:pt>
                <c:pt idx="103">
                  <c:v>221</c:v>
                </c:pt>
                <c:pt idx="104">
                  <c:v>198</c:v>
                </c:pt>
                <c:pt idx="105">
                  <c:v>229</c:v>
                </c:pt>
                <c:pt idx="106">
                  <c:v>217</c:v>
                </c:pt>
                <c:pt idx="107">
                  <c:v>219</c:v>
                </c:pt>
                <c:pt idx="108">
                  <c:v>220</c:v>
                </c:pt>
                <c:pt idx="109">
                  <c:v>183</c:v>
                </c:pt>
                <c:pt idx="110">
                  <c:v>194</c:v>
                </c:pt>
                <c:pt idx="111">
                  <c:v>197</c:v>
                </c:pt>
                <c:pt idx="112">
                  <c:v>187</c:v>
                </c:pt>
                <c:pt idx="113">
                  <c:v>195</c:v>
                </c:pt>
                <c:pt idx="114">
                  <c:v>178</c:v>
                </c:pt>
                <c:pt idx="115">
                  <c:v>164</c:v>
                </c:pt>
                <c:pt idx="116">
                  <c:v>164</c:v>
                </c:pt>
                <c:pt idx="117">
                  <c:v>147</c:v>
                </c:pt>
                <c:pt idx="118">
                  <c:v>149</c:v>
                </c:pt>
                <c:pt idx="119">
                  <c:v>155</c:v>
                </c:pt>
                <c:pt idx="120">
                  <c:v>155</c:v>
                </c:pt>
                <c:pt idx="121">
                  <c:v>179</c:v>
                </c:pt>
                <c:pt idx="122">
                  <c:v>176</c:v>
                </c:pt>
                <c:pt idx="123">
                  <c:v>174</c:v>
                </c:pt>
                <c:pt idx="124">
                  <c:v>144</c:v>
                </c:pt>
                <c:pt idx="125">
                  <c:v>173</c:v>
                </c:pt>
                <c:pt idx="126">
                  <c:v>131</c:v>
                </c:pt>
                <c:pt idx="127">
                  <c:v>156</c:v>
                </c:pt>
                <c:pt idx="128">
                  <c:v>182</c:v>
                </c:pt>
                <c:pt idx="129">
                  <c:v>166</c:v>
                </c:pt>
                <c:pt idx="130">
                  <c:v>180</c:v>
                </c:pt>
                <c:pt idx="131">
                  <c:v>185</c:v>
                </c:pt>
                <c:pt idx="132">
                  <c:v>159</c:v>
                </c:pt>
                <c:pt idx="133">
                  <c:v>139</c:v>
                </c:pt>
                <c:pt idx="134">
                  <c:v>158</c:v>
                </c:pt>
                <c:pt idx="135">
                  <c:v>162</c:v>
                </c:pt>
                <c:pt idx="136">
                  <c:v>157</c:v>
                </c:pt>
                <c:pt idx="137">
                  <c:v>187</c:v>
                </c:pt>
                <c:pt idx="138">
                  <c:v>157</c:v>
                </c:pt>
                <c:pt idx="139">
                  <c:v>175</c:v>
                </c:pt>
                <c:pt idx="140">
                  <c:v>143</c:v>
                </c:pt>
                <c:pt idx="141">
                  <c:v>166</c:v>
                </c:pt>
                <c:pt idx="142">
                  <c:v>170</c:v>
                </c:pt>
                <c:pt idx="143">
                  <c:v>141</c:v>
                </c:pt>
                <c:pt idx="144">
                  <c:v>176</c:v>
                </c:pt>
                <c:pt idx="145">
                  <c:v>179</c:v>
                </c:pt>
                <c:pt idx="146">
                  <c:v>165</c:v>
                </c:pt>
                <c:pt idx="147">
                  <c:v>190</c:v>
                </c:pt>
                <c:pt idx="148">
                  <c:v>170</c:v>
                </c:pt>
                <c:pt idx="149">
                  <c:v>162</c:v>
                </c:pt>
                <c:pt idx="150">
                  <c:v>175</c:v>
                </c:pt>
                <c:pt idx="151">
                  <c:v>149</c:v>
                </c:pt>
                <c:pt idx="152">
                  <c:v>186</c:v>
                </c:pt>
                <c:pt idx="153">
                  <c:v>186</c:v>
                </c:pt>
                <c:pt idx="154">
                  <c:v>179</c:v>
                </c:pt>
                <c:pt idx="155">
                  <c:v>178</c:v>
                </c:pt>
                <c:pt idx="156">
                  <c:v>175</c:v>
                </c:pt>
                <c:pt idx="157">
                  <c:v>168</c:v>
                </c:pt>
                <c:pt idx="158">
                  <c:v>178</c:v>
                </c:pt>
                <c:pt idx="159">
                  <c:v>181</c:v>
                </c:pt>
                <c:pt idx="160">
                  <c:v>196</c:v>
                </c:pt>
                <c:pt idx="161">
                  <c:v>181</c:v>
                </c:pt>
                <c:pt idx="162">
                  <c:v>200</c:v>
                </c:pt>
                <c:pt idx="163">
                  <c:v>184</c:v>
                </c:pt>
                <c:pt idx="164">
                  <c:v>226</c:v>
                </c:pt>
                <c:pt idx="165">
                  <c:v>251</c:v>
                </c:pt>
                <c:pt idx="166">
                  <c:v>200</c:v>
                </c:pt>
                <c:pt idx="167">
                  <c:v>210</c:v>
                </c:pt>
                <c:pt idx="168">
                  <c:v>180</c:v>
                </c:pt>
                <c:pt idx="169">
                  <c:v>187</c:v>
                </c:pt>
                <c:pt idx="170">
                  <c:v>167</c:v>
                </c:pt>
                <c:pt idx="171">
                  <c:v>162</c:v>
                </c:pt>
                <c:pt idx="172">
                  <c:v>155</c:v>
                </c:pt>
                <c:pt idx="173">
                  <c:v>157</c:v>
                </c:pt>
                <c:pt idx="174">
                  <c:v>151</c:v>
                </c:pt>
                <c:pt idx="175">
                  <c:v>153</c:v>
                </c:pt>
                <c:pt idx="176">
                  <c:v>144</c:v>
                </c:pt>
                <c:pt idx="177">
                  <c:v>181</c:v>
                </c:pt>
                <c:pt idx="178">
                  <c:v>137</c:v>
                </c:pt>
                <c:pt idx="179">
                  <c:v>140</c:v>
                </c:pt>
                <c:pt idx="180">
                  <c:v>160</c:v>
                </c:pt>
                <c:pt idx="181">
                  <c:v>168</c:v>
                </c:pt>
                <c:pt idx="182">
                  <c:v>182</c:v>
                </c:pt>
                <c:pt idx="183">
                  <c:v>157</c:v>
                </c:pt>
                <c:pt idx="184">
                  <c:v>164</c:v>
                </c:pt>
                <c:pt idx="185">
                  <c:v>172</c:v>
                </c:pt>
                <c:pt idx="186">
                  <c:v>160</c:v>
                </c:pt>
                <c:pt idx="187">
                  <c:v>195</c:v>
                </c:pt>
                <c:pt idx="188">
                  <c:v>177</c:v>
                </c:pt>
                <c:pt idx="189">
                  <c:v>144</c:v>
                </c:pt>
                <c:pt idx="190">
                  <c:v>140</c:v>
                </c:pt>
                <c:pt idx="191">
                  <c:v>171</c:v>
                </c:pt>
                <c:pt idx="192">
                  <c:v>142</c:v>
                </c:pt>
                <c:pt idx="193">
                  <c:v>161</c:v>
                </c:pt>
                <c:pt idx="194">
                  <c:v>146</c:v>
                </c:pt>
                <c:pt idx="195">
                  <c:v>143</c:v>
                </c:pt>
                <c:pt idx="196">
                  <c:v>174</c:v>
                </c:pt>
                <c:pt idx="197">
                  <c:v>167</c:v>
                </c:pt>
                <c:pt idx="198">
                  <c:v>157</c:v>
                </c:pt>
                <c:pt idx="199">
                  <c:v>149</c:v>
                </c:pt>
                <c:pt idx="200">
                  <c:v>161</c:v>
                </c:pt>
                <c:pt idx="201">
                  <c:v>176</c:v>
                </c:pt>
                <c:pt idx="202">
                  <c:v>153</c:v>
                </c:pt>
                <c:pt idx="203">
                  <c:v>186</c:v>
                </c:pt>
                <c:pt idx="204">
                  <c:v>190</c:v>
                </c:pt>
                <c:pt idx="205">
                  <c:v>196</c:v>
                </c:pt>
                <c:pt idx="206">
                  <c:v>175</c:v>
                </c:pt>
                <c:pt idx="207">
                  <c:v>161</c:v>
                </c:pt>
                <c:pt idx="208">
                  <c:v>187</c:v>
                </c:pt>
                <c:pt idx="209">
                  <c:v>195</c:v>
                </c:pt>
                <c:pt idx="210">
                  <c:v>203</c:v>
                </c:pt>
                <c:pt idx="211">
                  <c:v>202</c:v>
                </c:pt>
                <c:pt idx="212">
                  <c:v>192</c:v>
                </c:pt>
                <c:pt idx="213">
                  <c:v>195</c:v>
                </c:pt>
                <c:pt idx="214">
                  <c:v>190</c:v>
                </c:pt>
                <c:pt idx="215">
                  <c:v>202</c:v>
                </c:pt>
                <c:pt idx="216">
                  <c:v>202</c:v>
                </c:pt>
                <c:pt idx="217">
                  <c:v>187</c:v>
                </c:pt>
                <c:pt idx="218">
                  <c:v>168</c:v>
                </c:pt>
                <c:pt idx="219">
                  <c:v>163</c:v>
                </c:pt>
                <c:pt idx="220">
                  <c:v>179</c:v>
                </c:pt>
                <c:pt idx="221">
                  <c:v>138</c:v>
                </c:pt>
                <c:pt idx="222">
                  <c:v>174</c:v>
                </c:pt>
                <c:pt idx="223">
                  <c:v>193</c:v>
                </c:pt>
                <c:pt idx="224">
                  <c:v>169</c:v>
                </c:pt>
                <c:pt idx="225">
                  <c:v>146</c:v>
                </c:pt>
                <c:pt idx="226">
                  <c:v>165</c:v>
                </c:pt>
                <c:pt idx="227">
                  <c:v>171</c:v>
                </c:pt>
                <c:pt idx="228">
                  <c:v>158</c:v>
                </c:pt>
                <c:pt idx="229">
                  <c:v>171</c:v>
                </c:pt>
                <c:pt idx="230">
                  <c:v>169</c:v>
                </c:pt>
                <c:pt idx="231">
                  <c:v>154</c:v>
                </c:pt>
                <c:pt idx="232">
                  <c:v>153</c:v>
                </c:pt>
                <c:pt idx="233">
                  <c:v>184</c:v>
                </c:pt>
                <c:pt idx="234">
                  <c:v>163</c:v>
                </c:pt>
                <c:pt idx="235">
                  <c:v>147</c:v>
                </c:pt>
                <c:pt idx="236">
                  <c:v>152</c:v>
                </c:pt>
                <c:pt idx="237">
                  <c:v>221</c:v>
                </c:pt>
                <c:pt idx="238">
                  <c:v>163</c:v>
                </c:pt>
                <c:pt idx="239">
                  <c:v>174</c:v>
                </c:pt>
                <c:pt idx="240">
                  <c:v>139</c:v>
                </c:pt>
                <c:pt idx="241">
                  <c:v>159</c:v>
                </c:pt>
                <c:pt idx="242">
                  <c:v>165</c:v>
                </c:pt>
                <c:pt idx="243">
                  <c:v>170</c:v>
                </c:pt>
                <c:pt idx="244">
                  <c:v>166</c:v>
                </c:pt>
                <c:pt idx="245">
                  <c:v>156</c:v>
                </c:pt>
                <c:pt idx="246">
                  <c:v>148</c:v>
                </c:pt>
                <c:pt idx="247">
                  <c:v>186</c:v>
                </c:pt>
                <c:pt idx="248">
                  <c:v>141</c:v>
                </c:pt>
                <c:pt idx="249">
                  <c:v>152</c:v>
                </c:pt>
                <c:pt idx="250">
                  <c:v>182</c:v>
                </c:pt>
                <c:pt idx="251">
                  <c:v>167</c:v>
                </c:pt>
                <c:pt idx="252">
                  <c:v>164</c:v>
                </c:pt>
                <c:pt idx="253">
                  <c:v>150</c:v>
                </c:pt>
                <c:pt idx="254">
                  <c:v>179</c:v>
                </c:pt>
                <c:pt idx="255">
                  <c:v>152</c:v>
                </c:pt>
                <c:pt idx="256">
                  <c:v>150</c:v>
                </c:pt>
                <c:pt idx="257">
                  <c:v>176</c:v>
                </c:pt>
                <c:pt idx="258">
                  <c:v>189</c:v>
                </c:pt>
                <c:pt idx="259">
                  <c:v>166</c:v>
                </c:pt>
                <c:pt idx="260">
                  <c:v>180</c:v>
                </c:pt>
                <c:pt idx="261">
                  <c:v>185</c:v>
                </c:pt>
                <c:pt idx="262">
                  <c:v>168</c:v>
                </c:pt>
                <c:pt idx="263">
                  <c:v>177</c:v>
                </c:pt>
                <c:pt idx="264">
                  <c:v>194</c:v>
                </c:pt>
                <c:pt idx="265">
                  <c:v>188</c:v>
                </c:pt>
                <c:pt idx="266">
                  <c:v>193</c:v>
                </c:pt>
                <c:pt idx="267">
                  <c:v>191</c:v>
                </c:pt>
                <c:pt idx="268">
                  <c:v>190</c:v>
                </c:pt>
                <c:pt idx="269">
                  <c:v>190</c:v>
                </c:pt>
                <c:pt idx="270">
                  <c:v>193</c:v>
                </c:pt>
                <c:pt idx="271">
                  <c:v>254</c:v>
                </c:pt>
                <c:pt idx="272">
                  <c:v>331</c:v>
                </c:pt>
                <c:pt idx="273">
                  <c:v>482</c:v>
                </c:pt>
                <c:pt idx="274">
                  <c:v>515</c:v>
                </c:pt>
                <c:pt idx="275">
                  <c:v>373</c:v>
                </c:pt>
                <c:pt idx="276">
                  <c:v>309</c:v>
                </c:pt>
                <c:pt idx="277">
                  <c:v>235</c:v>
                </c:pt>
                <c:pt idx="278">
                  <c:v>192</c:v>
                </c:pt>
                <c:pt idx="279">
                  <c:v>175</c:v>
                </c:pt>
                <c:pt idx="280">
                  <c:v>169</c:v>
                </c:pt>
                <c:pt idx="281">
                  <c:v>148</c:v>
                </c:pt>
                <c:pt idx="282">
                  <c:v>147</c:v>
                </c:pt>
                <c:pt idx="283">
                  <c:v>143</c:v>
                </c:pt>
                <c:pt idx="284">
                  <c:v>149</c:v>
                </c:pt>
                <c:pt idx="285">
                  <c:v>161</c:v>
                </c:pt>
                <c:pt idx="286">
                  <c:v>141</c:v>
                </c:pt>
                <c:pt idx="287">
                  <c:v>126</c:v>
                </c:pt>
                <c:pt idx="288">
                  <c:v>140</c:v>
                </c:pt>
                <c:pt idx="289">
                  <c:v>159</c:v>
                </c:pt>
                <c:pt idx="290">
                  <c:v>135</c:v>
                </c:pt>
                <c:pt idx="291">
                  <c:v>158</c:v>
                </c:pt>
                <c:pt idx="292">
                  <c:v>251</c:v>
                </c:pt>
                <c:pt idx="293">
                  <c:v>205</c:v>
                </c:pt>
                <c:pt idx="294">
                  <c:v>126</c:v>
                </c:pt>
                <c:pt idx="295">
                  <c:v>155</c:v>
                </c:pt>
                <c:pt idx="296">
                  <c:v>142</c:v>
                </c:pt>
                <c:pt idx="297">
                  <c:v>150</c:v>
                </c:pt>
                <c:pt idx="298">
                  <c:v>155</c:v>
                </c:pt>
                <c:pt idx="299">
                  <c:v>160</c:v>
                </c:pt>
                <c:pt idx="300">
                  <c:v>184</c:v>
                </c:pt>
                <c:pt idx="301">
                  <c:v>178</c:v>
                </c:pt>
                <c:pt idx="302">
                  <c:v>250</c:v>
                </c:pt>
                <c:pt idx="303">
                  <c:v>316</c:v>
                </c:pt>
                <c:pt idx="304">
                  <c:v>326</c:v>
                </c:pt>
                <c:pt idx="305">
                  <c:v>294</c:v>
                </c:pt>
                <c:pt idx="306">
                  <c:v>276</c:v>
                </c:pt>
                <c:pt idx="307">
                  <c:v>262</c:v>
                </c:pt>
                <c:pt idx="308">
                  <c:v>188</c:v>
                </c:pt>
                <c:pt idx="309">
                  <c:v>225</c:v>
                </c:pt>
                <c:pt idx="310">
                  <c:v>202</c:v>
                </c:pt>
                <c:pt idx="311">
                  <c:v>190</c:v>
                </c:pt>
                <c:pt idx="312">
                  <c:v>188</c:v>
                </c:pt>
                <c:pt idx="313">
                  <c:v>175</c:v>
                </c:pt>
                <c:pt idx="314">
                  <c:v>154</c:v>
                </c:pt>
                <c:pt idx="315">
                  <c:v>168</c:v>
                </c:pt>
                <c:pt idx="316">
                  <c:v>192</c:v>
                </c:pt>
                <c:pt idx="317">
                  <c:v>169</c:v>
                </c:pt>
                <c:pt idx="318">
                  <c:v>171</c:v>
                </c:pt>
                <c:pt idx="319">
                  <c:v>165</c:v>
                </c:pt>
                <c:pt idx="320">
                  <c:v>161</c:v>
                </c:pt>
                <c:pt idx="321">
                  <c:v>178</c:v>
                </c:pt>
                <c:pt idx="322">
                  <c:v>166</c:v>
                </c:pt>
                <c:pt idx="323">
                  <c:v>174</c:v>
                </c:pt>
                <c:pt idx="324">
                  <c:v>155</c:v>
                </c:pt>
                <c:pt idx="325">
                  <c:v>189</c:v>
                </c:pt>
                <c:pt idx="326">
                  <c:v>184</c:v>
                </c:pt>
                <c:pt idx="327">
                  <c:v>188</c:v>
                </c:pt>
                <c:pt idx="328">
                  <c:v>172</c:v>
                </c:pt>
                <c:pt idx="329">
                  <c:v>185</c:v>
                </c:pt>
                <c:pt idx="330">
                  <c:v>223</c:v>
                </c:pt>
                <c:pt idx="331">
                  <c:v>150</c:v>
                </c:pt>
                <c:pt idx="332">
                  <c:v>159</c:v>
                </c:pt>
                <c:pt idx="333">
                  <c:v>163</c:v>
                </c:pt>
                <c:pt idx="334">
                  <c:v>165</c:v>
                </c:pt>
                <c:pt idx="335">
                  <c:v>149</c:v>
                </c:pt>
                <c:pt idx="336">
                  <c:v>175</c:v>
                </c:pt>
                <c:pt idx="337">
                  <c:v>144</c:v>
                </c:pt>
                <c:pt idx="338">
                  <c:v>153</c:v>
                </c:pt>
                <c:pt idx="339">
                  <c:v>134</c:v>
                </c:pt>
                <c:pt idx="340">
                  <c:v>137</c:v>
                </c:pt>
                <c:pt idx="341">
                  <c:v>155</c:v>
                </c:pt>
                <c:pt idx="342">
                  <c:v>146</c:v>
                </c:pt>
                <c:pt idx="343">
                  <c:v>159</c:v>
                </c:pt>
                <c:pt idx="344">
                  <c:v>157</c:v>
                </c:pt>
                <c:pt idx="345">
                  <c:v>151</c:v>
                </c:pt>
                <c:pt idx="346">
                  <c:v>153</c:v>
                </c:pt>
                <c:pt idx="347">
                  <c:v>149</c:v>
                </c:pt>
                <c:pt idx="348">
                  <c:v>163</c:v>
                </c:pt>
                <c:pt idx="349">
                  <c:v>157</c:v>
                </c:pt>
                <c:pt idx="350">
                  <c:v>150</c:v>
                </c:pt>
                <c:pt idx="351">
                  <c:v>165</c:v>
                </c:pt>
                <c:pt idx="352">
                  <c:v>171</c:v>
                </c:pt>
                <c:pt idx="353">
                  <c:v>180</c:v>
                </c:pt>
                <c:pt idx="354">
                  <c:v>183</c:v>
                </c:pt>
                <c:pt idx="355">
                  <c:v>195</c:v>
                </c:pt>
                <c:pt idx="356">
                  <c:v>174</c:v>
                </c:pt>
                <c:pt idx="357">
                  <c:v>187</c:v>
                </c:pt>
                <c:pt idx="358">
                  <c:v>197</c:v>
                </c:pt>
                <c:pt idx="359">
                  <c:v>181</c:v>
                </c:pt>
                <c:pt idx="360">
                  <c:v>190</c:v>
                </c:pt>
                <c:pt idx="361">
                  <c:v>182</c:v>
                </c:pt>
                <c:pt idx="362">
                  <c:v>189</c:v>
                </c:pt>
                <c:pt idx="363">
                  <c:v>199</c:v>
                </c:pt>
                <c:pt idx="364">
                  <c:v>203</c:v>
                </c:pt>
                <c:pt idx="365">
                  <c:v>203</c:v>
                </c:pt>
                <c:pt idx="366">
                  <c:v>172</c:v>
                </c:pt>
                <c:pt idx="367">
                  <c:v>207</c:v>
                </c:pt>
                <c:pt idx="368">
                  <c:v>214</c:v>
                </c:pt>
                <c:pt idx="369">
                  <c:v>223</c:v>
                </c:pt>
                <c:pt idx="370">
                  <c:v>209</c:v>
                </c:pt>
                <c:pt idx="371">
                  <c:v>164</c:v>
                </c:pt>
                <c:pt idx="372">
                  <c:v>152</c:v>
                </c:pt>
                <c:pt idx="373">
                  <c:v>136</c:v>
                </c:pt>
                <c:pt idx="374">
                  <c:v>205</c:v>
                </c:pt>
                <c:pt idx="375">
                  <c:v>188</c:v>
                </c:pt>
                <c:pt idx="376">
                  <c:v>162</c:v>
                </c:pt>
                <c:pt idx="377">
                  <c:v>178</c:v>
                </c:pt>
                <c:pt idx="378">
                  <c:v>176</c:v>
                </c:pt>
                <c:pt idx="379">
                  <c:v>193</c:v>
                </c:pt>
                <c:pt idx="380">
                  <c:v>179</c:v>
                </c:pt>
                <c:pt idx="381">
                  <c:v>149</c:v>
                </c:pt>
                <c:pt idx="382">
                  <c:v>169</c:v>
                </c:pt>
                <c:pt idx="383">
                  <c:v>142</c:v>
                </c:pt>
                <c:pt idx="384">
                  <c:v>161</c:v>
                </c:pt>
                <c:pt idx="385">
                  <c:v>148</c:v>
                </c:pt>
                <c:pt idx="386">
                  <c:v>147</c:v>
                </c:pt>
                <c:pt idx="387">
                  <c:v>149</c:v>
                </c:pt>
                <c:pt idx="388">
                  <c:v>168</c:v>
                </c:pt>
                <c:pt idx="389">
                  <c:v>165</c:v>
                </c:pt>
                <c:pt idx="390">
                  <c:v>153</c:v>
                </c:pt>
                <c:pt idx="391">
                  <c:v>151</c:v>
                </c:pt>
                <c:pt idx="392">
                  <c:v>140</c:v>
                </c:pt>
                <c:pt idx="393">
                  <c:v>199</c:v>
                </c:pt>
                <c:pt idx="394">
                  <c:v>168</c:v>
                </c:pt>
                <c:pt idx="395">
                  <c:v>161</c:v>
                </c:pt>
                <c:pt idx="396">
                  <c:v>177</c:v>
                </c:pt>
                <c:pt idx="397">
                  <c:v>149</c:v>
                </c:pt>
                <c:pt idx="398">
                  <c:v>164</c:v>
                </c:pt>
                <c:pt idx="399">
                  <c:v>138</c:v>
                </c:pt>
                <c:pt idx="400">
                  <c:v>170</c:v>
                </c:pt>
                <c:pt idx="401">
                  <c:v>143</c:v>
                </c:pt>
                <c:pt idx="402">
                  <c:v>135</c:v>
                </c:pt>
                <c:pt idx="403">
                  <c:v>150</c:v>
                </c:pt>
                <c:pt idx="404">
                  <c:v>180</c:v>
                </c:pt>
                <c:pt idx="405">
                  <c:v>151</c:v>
                </c:pt>
                <c:pt idx="406">
                  <c:v>170</c:v>
                </c:pt>
                <c:pt idx="407">
                  <c:v>186</c:v>
                </c:pt>
                <c:pt idx="408">
                  <c:v>166</c:v>
                </c:pt>
                <c:pt idx="409">
                  <c:v>165</c:v>
                </c:pt>
                <c:pt idx="410">
                  <c:v>144</c:v>
                </c:pt>
                <c:pt idx="411">
                  <c:v>185</c:v>
                </c:pt>
                <c:pt idx="412">
                  <c:v>170</c:v>
                </c:pt>
                <c:pt idx="413">
                  <c:v>154</c:v>
                </c:pt>
                <c:pt idx="414">
                  <c:v>212</c:v>
                </c:pt>
                <c:pt idx="415">
                  <c:v>234</c:v>
                </c:pt>
                <c:pt idx="416">
                  <c:v>217</c:v>
                </c:pt>
                <c:pt idx="417">
                  <c:v>212</c:v>
                </c:pt>
                <c:pt idx="418">
                  <c:v>224</c:v>
                </c:pt>
                <c:pt idx="419">
                  <c:v>171</c:v>
                </c:pt>
                <c:pt idx="420">
                  <c:v>159</c:v>
                </c:pt>
                <c:pt idx="421">
                  <c:v>185</c:v>
                </c:pt>
                <c:pt idx="422">
                  <c:v>187</c:v>
                </c:pt>
                <c:pt idx="423">
                  <c:v>168</c:v>
                </c:pt>
                <c:pt idx="424">
                  <c:v>159</c:v>
                </c:pt>
                <c:pt idx="425">
                  <c:v>166</c:v>
                </c:pt>
                <c:pt idx="426">
                  <c:v>170</c:v>
                </c:pt>
                <c:pt idx="427">
                  <c:v>164</c:v>
                </c:pt>
                <c:pt idx="428">
                  <c:v>151</c:v>
                </c:pt>
                <c:pt idx="429">
                  <c:v>178</c:v>
                </c:pt>
                <c:pt idx="430">
                  <c:v>166</c:v>
                </c:pt>
                <c:pt idx="431">
                  <c:v>170</c:v>
                </c:pt>
                <c:pt idx="432">
                  <c:v>158</c:v>
                </c:pt>
                <c:pt idx="433">
                  <c:v>167</c:v>
                </c:pt>
                <c:pt idx="434">
                  <c:v>149</c:v>
                </c:pt>
                <c:pt idx="435">
                  <c:v>174</c:v>
                </c:pt>
                <c:pt idx="436">
                  <c:v>158</c:v>
                </c:pt>
                <c:pt idx="437">
                  <c:v>134</c:v>
                </c:pt>
                <c:pt idx="438">
                  <c:v>150</c:v>
                </c:pt>
                <c:pt idx="439">
                  <c:v>164</c:v>
                </c:pt>
                <c:pt idx="440">
                  <c:v>179</c:v>
                </c:pt>
                <c:pt idx="441">
                  <c:v>120</c:v>
                </c:pt>
                <c:pt idx="442">
                  <c:v>162</c:v>
                </c:pt>
                <c:pt idx="443">
                  <c:v>151</c:v>
                </c:pt>
                <c:pt idx="444">
                  <c:v>150</c:v>
                </c:pt>
                <c:pt idx="445">
                  <c:v>142</c:v>
                </c:pt>
                <c:pt idx="446">
                  <c:v>138</c:v>
                </c:pt>
                <c:pt idx="447">
                  <c:v>144</c:v>
                </c:pt>
                <c:pt idx="448">
                  <c:v>141</c:v>
                </c:pt>
                <c:pt idx="449">
                  <c:v>147</c:v>
                </c:pt>
                <c:pt idx="450">
                  <c:v>162</c:v>
                </c:pt>
                <c:pt idx="451">
                  <c:v>157</c:v>
                </c:pt>
                <c:pt idx="452">
                  <c:v>153</c:v>
                </c:pt>
                <c:pt idx="453">
                  <c:v>158</c:v>
                </c:pt>
                <c:pt idx="454">
                  <c:v>147</c:v>
                </c:pt>
                <c:pt idx="455">
                  <c:v>165</c:v>
                </c:pt>
                <c:pt idx="456">
                  <c:v>175</c:v>
                </c:pt>
                <c:pt idx="457">
                  <c:v>155</c:v>
                </c:pt>
                <c:pt idx="458">
                  <c:v>175</c:v>
                </c:pt>
                <c:pt idx="459">
                  <c:v>176</c:v>
                </c:pt>
                <c:pt idx="460">
                  <c:v>159</c:v>
                </c:pt>
                <c:pt idx="461">
                  <c:v>170</c:v>
                </c:pt>
                <c:pt idx="462">
                  <c:v>185</c:v>
                </c:pt>
                <c:pt idx="463">
                  <c:v>150</c:v>
                </c:pt>
                <c:pt idx="464">
                  <c:v>186</c:v>
                </c:pt>
                <c:pt idx="465">
                  <c:v>209</c:v>
                </c:pt>
                <c:pt idx="466">
                  <c:v>199</c:v>
                </c:pt>
                <c:pt idx="467">
                  <c:v>202</c:v>
                </c:pt>
                <c:pt idx="468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A-4404-905E-00CDC463C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169055"/>
        <c:axId val="510189215"/>
      </c:lineChart>
      <c:dateAx>
        <c:axId val="51016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89215"/>
        <c:crosses val="autoZero"/>
        <c:auto val="1"/>
        <c:lblOffset val="100"/>
        <c:baseTimeUnit val="days"/>
      </c:dateAx>
      <c:valAx>
        <c:axId val="5101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N°</a:t>
                </a:r>
                <a:r>
                  <a:rPr lang="en-US" sz="2000" baseline="0"/>
                  <a:t> of Deaths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6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Mortality by</a:t>
            </a:r>
            <a:r>
              <a:rPr lang="en-US" sz="2400" baseline="0"/>
              <a:t> Weeks in Brussels (2015-2023)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2154129740441E-2"/>
          <c:y val="1.1073839354318408E-2"/>
          <c:w val="0.91110766681612443"/>
          <c:h val="0.78973707271538063"/>
        </c:manualLayout>
      </c:layout>
      <c:lineChart>
        <c:grouping val="standard"/>
        <c:varyColors val="0"/>
        <c:ser>
          <c:idx val="0"/>
          <c:order val="0"/>
          <c:tx>
            <c:strRef>
              <c:f>'week chart'!$G$1</c:f>
              <c:strCache>
                <c:ptCount val="1"/>
                <c:pt idx="0">
                  <c:v>Y2015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chart'!$G$2:$G$54</c:f>
              <c:numCache>
                <c:formatCode>General</c:formatCode>
                <c:ptCount val="53"/>
                <c:pt idx="1">
                  <c:v>232</c:v>
                </c:pt>
                <c:pt idx="2">
                  <c:v>194</c:v>
                </c:pt>
                <c:pt idx="3">
                  <c:v>226</c:v>
                </c:pt>
                <c:pt idx="4">
                  <c:v>211</c:v>
                </c:pt>
                <c:pt idx="5">
                  <c:v>243</c:v>
                </c:pt>
                <c:pt idx="6">
                  <c:v>241</c:v>
                </c:pt>
                <c:pt idx="7">
                  <c:v>228</c:v>
                </c:pt>
                <c:pt idx="8">
                  <c:v>235</c:v>
                </c:pt>
                <c:pt idx="9">
                  <c:v>224</c:v>
                </c:pt>
                <c:pt idx="10">
                  <c:v>212</c:v>
                </c:pt>
                <c:pt idx="11">
                  <c:v>191</c:v>
                </c:pt>
                <c:pt idx="12">
                  <c:v>177</c:v>
                </c:pt>
                <c:pt idx="13">
                  <c:v>200</c:v>
                </c:pt>
                <c:pt idx="14">
                  <c:v>170</c:v>
                </c:pt>
                <c:pt idx="15">
                  <c:v>178</c:v>
                </c:pt>
                <c:pt idx="16">
                  <c:v>177</c:v>
                </c:pt>
                <c:pt idx="17">
                  <c:v>167</c:v>
                </c:pt>
                <c:pt idx="18">
                  <c:v>179</c:v>
                </c:pt>
                <c:pt idx="19">
                  <c:v>147</c:v>
                </c:pt>
                <c:pt idx="20">
                  <c:v>155</c:v>
                </c:pt>
                <c:pt idx="21">
                  <c:v>171</c:v>
                </c:pt>
                <c:pt idx="22">
                  <c:v>153</c:v>
                </c:pt>
                <c:pt idx="23">
                  <c:v>170</c:v>
                </c:pt>
                <c:pt idx="24">
                  <c:v>163</c:v>
                </c:pt>
                <c:pt idx="25">
                  <c:v>152</c:v>
                </c:pt>
                <c:pt idx="26">
                  <c:v>194</c:v>
                </c:pt>
                <c:pt idx="27">
                  <c:v>184</c:v>
                </c:pt>
                <c:pt idx="28">
                  <c:v>145</c:v>
                </c:pt>
                <c:pt idx="29">
                  <c:v>145</c:v>
                </c:pt>
                <c:pt idx="30">
                  <c:v>166</c:v>
                </c:pt>
                <c:pt idx="31">
                  <c:v>192</c:v>
                </c:pt>
                <c:pt idx="32">
                  <c:v>157</c:v>
                </c:pt>
                <c:pt idx="33">
                  <c:v>138</c:v>
                </c:pt>
                <c:pt idx="34">
                  <c:v>173</c:v>
                </c:pt>
                <c:pt idx="35">
                  <c:v>161</c:v>
                </c:pt>
                <c:pt idx="36">
                  <c:v>149</c:v>
                </c:pt>
                <c:pt idx="37">
                  <c:v>155</c:v>
                </c:pt>
                <c:pt idx="38">
                  <c:v>160</c:v>
                </c:pt>
                <c:pt idx="39">
                  <c:v>176</c:v>
                </c:pt>
                <c:pt idx="40">
                  <c:v>182</c:v>
                </c:pt>
                <c:pt idx="41">
                  <c:v>166</c:v>
                </c:pt>
                <c:pt idx="42">
                  <c:v>178</c:v>
                </c:pt>
                <c:pt idx="43">
                  <c:v>165</c:v>
                </c:pt>
                <c:pt idx="44">
                  <c:v>163</c:v>
                </c:pt>
                <c:pt idx="45">
                  <c:v>171</c:v>
                </c:pt>
                <c:pt idx="46">
                  <c:v>194</c:v>
                </c:pt>
                <c:pt idx="47">
                  <c:v>176</c:v>
                </c:pt>
                <c:pt idx="48">
                  <c:v>147</c:v>
                </c:pt>
                <c:pt idx="49">
                  <c:v>176</c:v>
                </c:pt>
                <c:pt idx="50">
                  <c:v>156</c:v>
                </c:pt>
                <c:pt idx="51">
                  <c:v>151</c:v>
                </c:pt>
                <c:pt idx="52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E-4645-AAC8-268EB9FBE5CF}"/>
            </c:ext>
          </c:extLst>
        </c:ser>
        <c:ser>
          <c:idx val="1"/>
          <c:order val="1"/>
          <c:tx>
            <c:strRef>
              <c:f>'week chart'!$H$1</c:f>
              <c:strCache>
                <c:ptCount val="1"/>
                <c:pt idx="0">
                  <c:v>Y2016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chart'!$H$2:$H$54</c:f>
              <c:numCache>
                <c:formatCode>General</c:formatCode>
                <c:ptCount val="53"/>
                <c:pt idx="0">
                  <c:v>171</c:v>
                </c:pt>
                <c:pt idx="1">
                  <c:v>191</c:v>
                </c:pt>
                <c:pt idx="2">
                  <c:v>182</c:v>
                </c:pt>
                <c:pt idx="3">
                  <c:v>195</c:v>
                </c:pt>
                <c:pt idx="4">
                  <c:v>192</c:v>
                </c:pt>
                <c:pt idx="5">
                  <c:v>167</c:v>
                </c:pt>
                <c:pt idx="6">
                  <c:v>166</c:v>
                </c:pt>
                <c:pt idx="7">
                  <c:v>192</c:v>
                </c:pt>
                <c:pt idx="8">
                  <c:v>186</c:v>
                </c:pt>
                <c:pt idx="9">
                  <c:v>194</c:v>
                </c:pt>
                <c:pt idx="10">
                  <c:v>193</c:v>
                </c:pt>
                <c:pt idx="11">
                  <c:v>232</c:v>
                </c:pt>
                <c:pt idx="12">
                  <c:v>179</c:v>
                </c:pt>
                <c:pt idx="13">
                  <c:v>157</c:v>
                </c:pt>
                <c:pt idx="14">
                  <c:v>178</c:v>
                </c:pt>
                <c:pt idx="15">
                  <c:v>179</c:v>
                </c:pt>
                <c:pt idx="16">
                  <c:v>168</c:v>
                </c:pt>
                <c:pt idx="17">
                  <c:v>177</c:v>
                </c:pt>
                <c:pt idx="18">
                  <c:v>177</c:v>
                </c:pt>
                <c:pt idx="19">
                  <c:v>146</c:v>
                </c:pt>
                <c:pt idx="20">
                  <c:v>172</c:v>
                </c:pt>
                <c:pt idx="21">
                  <c:v>151</c:v>
                </c:pt>
                <c:pt idx="22">
                  <c:v>146</c:v>
                </c:pt>
                <c:pt idx="23">
                  <c:v>178</c:v>
                </c:pt>
                <c:pt idx="24">
                  <c:v>162</c:v>
                </c:pt>
                <c:pt idx="25">
                  <c:v>155</c:v>
                </c:pt>
                <c:pt idx="26">
                  <c:v>155</c:v>
                </c:pt>
                <c:pt idx="27">
                  <c:v>160</c:v>
                </c:pt>
                <c:pt idx="28">
                  <c:v>193</c:v>
                </c:pt>
                <c:pt idx="29">
                  <c:v>166</c:v>
                </c:pt>
                <c:pt idx="30">
                  <c:v>144</c:v>
                </c:pt>
                <c:pt idx="31">
                  <c:v>167</c:v>
                </c:pt>
                <c:pt idx="32">
                  <c:v>149</c:v>
                </c:pt>
                <c:pt idx="33">
                  <c:v>178</c:v>
                </c:pt>
                <c:pt idx="34">
                  <c:v>155</c:v>
                </c:pt>
                <c:pt idx="35">
                  <c:v>156</c:v>
                </c:pt>
                <c:pt idx="36">
                  <c:v>166</c:v>
                </c:pt>
                <c:pt idx="37">
                  <c:v>133</c:v>
                </c:pt>
                <c:pt idx="38">
                  <c:v>165</c:v>
                </c:pt>
                <c:pt idx="39">
                  <c:v>155</c:v>
                </c:pt>
                <c:pt idx="40">
                  <c:v>170</c:v>
                </c:pt>
                <c:pt idx="41">
                  <c:v>181</c:v>
                </c:pt>
                <c:pt idx="42">
                  <c:v>165</c:v>
                </c:pt>
                <c:pt idx="43">
                  <c:v>165</c:v>
                </c:pt>
                <c:pt idx="44">
                  <c:v>193</c:v>
                </c:pt>
                <c:pt idx="45">
                  <c:v>190</c:v>
                </c:pt>
                <c:pt idx="46">
                  <c:v>186</c:v>
                </c:pt>
                <c:pt idx="47">
                  <c:v>192</c:v>
                </c:pt>
                <c:pt idx="48">
                  <c:v>178</c:v>
                </c:pt>
                <c:pt idx="49">
                  <c:v>194</c:v>
                </c:pt>
                <c:pt idx="50">
                  <c:v>158</c:v>
                </c:pt>
                <c:pt idx="51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E-4645-AAC8-268EB9FBE5CF}"/>
            </c:ext>
          </c:extLst>
        </c:ser>
        <c:ser>
          <c:idx val="2"/>
          <c:order val="2"/>
          <c:tx>
            <c:strRef>
              <c:f>'week chart'!$I$1</c:f>
              <c:strCache>
                <c:ptCount val="1"/>
                <c:pt idx="0">
                  <c:v>Y2017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chart'!$I$2:$I$54</c:f>
              <c:numCache>
                <c:formatCode>General</c:formatCode>
                <c:ptCount val="53"/>
                <c:pt idx="0">
                  <c:v>198</c:v>
                </c:pt>
                <c:pt idx="1">
                  <c:v>229</c:v>
                </c:pt>
                <c:pt idx="2">
                  <c:v>217</c:v>
                </c:pt>
                <c:pt idx="3">
                  <c:v>219</c:v>
                </c:pt>
                <c:pt idx="4">
                  <c:v>220</c:v>
                </c:pt>
                <c:pt idx="5">
                  <c:v>183</c:v>
                </c:pt>
                <c:pt idx="6">
                  <c:v>194</c:v>
                </c:pt>
                <c:pt idx="7">
                  <c:v>197</c:v>
                </c:pt>
                <c:pt idx="8">
                  <c:v>187</c:v>
                </c:pt>
                <c:pt idx="9">
                  <c:v>195</c:v>
                </c:pt>
                <c:pt idx="10">
                  <c:v>178</c:v>
                </c:pt>
                <c:pt idx="11">
                  <c:v>164</c:v>
                </c:pt>
                <c:pt idx="12">
                  <c:v>164</c:v>
                </c:pt>
                <c:pt idx="13">
                  <c:v>147</c:v>
                </c:pt>
                <c:pt idx="14">
                  <c:v>149</c:v>
                </c:pt>
                <c:pt idx="15">
                  <c:v>155</c:v>
                </c:pt>
                <c:pt idx="16">
                  <c:v>155</c:v>
                </c:pt>
                <c:pt idx="17">
                  <c:v>179</c:v>
                </c:pt>
                <c:pt idx="18">
                  <c:v>176</c:v>
                </c:pt>
                <c:pt idx="19">
                  <c:v>174</c:v>
                </c:pt>
                <c:pt idx="20">
                  <c:v>144</c:v>
                </c:pt>
                <c:pt idx="21">
                  <c:v>173</c:v>
                </c:pt>
                <c:pt idx="22">
                  <c:v>131</c:v>
                </c:pt>
                <c:pt idx="23">
                  <c:v>156</c:v>
                </c:pt>
                <c:pt idx="24">
                  <c:v>182</c:v>
                </c:pt>
                <c:pt idx="25">
                  <c:v>166</c:v>
                </c:pt>
                <c:pt idx="26">
                  <c:v>180</c:v>
                </c:pt>
                <c:pt idx="27">
                  <c:v>185</c:v>
                </c:pt>
                <c:pt idx="28">
                  <c:v>159</c:v>
                </c:pt>
                <c:pt idx="29">
                  <c:v>139</c:v>
                </c:pt>
                <c:pt idx="30">
                  <c:v>158</c:v>
                </c:pt>
                <c:pt idx="31">
                  <c:v>162</c:v>
                </c:pt>
                <c:pt idx="32">
                  <c:v>157</c:v>
                </c:pt>
                <c:pt idx="33">
                  <c:v>187</c:v>
                </c:pt>
                <c:pt idx="34">
                  <c:v>157</c:v>
                </c:pt>
                <c:pt idx="35">
                  <c:v>175</c:v>
                </c:pt>
                <c:pt idx="36">
                  <c:v>143</c:v>
                </c:pt>
                <c:pt idx="37">
                  <c:v>166</c:v>
                </c:pt>
                <c:pt idx="38">
                  <c:v>170</c:v>
                </c:pt>
                <c:pt idx="39">
                  <c:v>141</c:v>
                </c:pt>
                <c:pt idx="40">
                  <c:v>176</c:v>
                </c:pt>
                <c:pt idx="41">
                  <c:v>179</c:v>
                </c:pt>
                <c:pt idx="42">
                  <c:v>165</c:v>
                </c:pt>
                <c:pt idx="43">
                  <c:v>190</c:v>
                </c:pt>
                <c:pt idx="44">
                  <c:v>170</c:v>
                </c:pt>
                <c:pt idx="45">
                  <c:v>162</c:v>
                </c:pt>
                <c:pt idx="46">
                  <c:v>175</c:v>
                </c:pt>
                <c:pt idx="47">
                  <c:v>149</c:v>
                </c:pt>
                <c:pt idx="48">
                  <c:v>186</c:v>
                </c:pt>
                <c:pt idx="49">
                  <c:v>186</c:v>
                </c:pt>
                <c:pt idx="50">
                  <c:v>179</c:v>
                </c:pt>
                <c:pt idx="5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E-4645-AAC8-268EB9FBE5CF}"/>
            </c:ext>
          </c:extLst>
        </c:ser>
        <c:ser>
          <c:idx val="3"/>
          <c:order val="3"/>
          <c:tx>
            <c:strRef>
              <c:f>'week chart'!$J$1</c:f>
              <c:strCache>
                <c:ptCount val="1"/>
                <c:pt idx="0">
                  <c:v>Y2018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chart'!$J$2:$J$54</c:f>
              <c:numCache>
                <c:formatCode>General</c:formatCode>
                <c:ptCount val="53"/>
                <c:pt idx="0">
                  <c:v>175</c:v>
                </c:pt>
                <c:pt idx="1">
                  <c:v>168</c:v>
                </c:pt>
                <c:pt idx="2">
                  <c:v>178</c:v>
                </c:pt>
                <c:pt idx="3">
                  <c:v>181</c:v>
                </c:pt>
                <c:pt idx="4">
                  <c:v>196</c:v>
                </c:pt>
                <c:pt idx="5">
                  <c:v>181</c:v>
                </c:pt>
                <c:pt idx="6">
                  <c:v>200</c:v>
                </c:pt>
                <c:pt idx="7">
                  <c:v>184</c:v>
                </c:pt>
                <c:pt idx="8">
                  <c:v>226</c:v>
                </c:pt>
                <c:pt idx="9">
                  <c:v>251</c:v>
                </c:pt>
                <c:pt idx="10">
                  <c:v>200</c:v>
                </c:pt>
                <c:pt idx="11">
                  <c:v>210</c:v>
                </c:pt>
                <c:pt idx="12">
                  <c:v>180</c:v>
                </c:pt>
                <c:pt idx="13">
                  <c:v>187</c:v>
                </c:pt>
                <c:pt idx="14">
                  <c:v>167</c:v>
                </c:pt>
                <c:pt idx="15">
                  <c:v>162</c:v>
                </c:pt>
                <c:pt idx="16">
                  <c:v>155</c:v>
                </c:pt>
                <c:pt idx="17">
                  <c:v>157</c:v>
                </c:pt>
                <c:pt idx="18">
                  <c:v>151</c:v>
                </c:pt>
                <c:pt idx="19">
                  <c:v>153</c:v>
                </c:pt>
                <c:pt idx="20">
                  <c:v>144</c:v>
                </c:pt>
                <c:pt idx="21">
                  <c:v>181</c:v>
                </c:pt>
                <c:pt idx="22">
                  <c:v>137</c:v>
                </c:pt>
                <c:pt idx="23">
                  <c:v>140</c:v>
                </c:pt>
                <c:pt idx="24">
                  <c:v>160</c:v>
                </c:pt>
                <c:pt idx="25">
                  <c:v>168</c:v>
                </c:pt>
                <c:pt idx="26">
                  <c:v>182</c:v>
                </c:pt>
                <c:pt idx="27">
                  <c:v>157</c:v>
                </c:pt>
                <c:pt idx="28">
                  <c:v>164</c:v>
                </c:pt>
                <c:pt idx="29">
                  <c:v>172</c:v>
                </c:pt>
                <c:pt idx="30">
                  <c:v>160</c:v>
                </c:pt>
                <c:pt idx="31">
                  <c:v>195</c:v>
                </c:pt>
                <c:pt idx="32">
                  <c:v>177</c:v>
                </c:pt>
                <c:pt idx="33">
                  <c:v>144</c:v>
                </c:pt>
                <c:pt idx="34">
                  <c:v>140</c:v>
                </c:pt>
                <c:pt idx="35">
                  <c:v>171</c:v>
                </c:pt>
                <c:pt idx="36">
                  <c:v>142</c:v>
                </c:pt>
                <c:pt idx="37">
                  <c:v>161</c:v>
                </c:pt>
                <c:pt idx="38">
                  <c:v>146</c:v>
                </c:pt>
                <c:pt idx="39">
                  <c:v>143</c:v>
                </c:pt>
                <c:pt idx="40">
                  <c:v>174</c:v>
                </c:pt>
                <c:pt idx="41">
                  <c:v>167</c:v>
                </c:pt>
                <c:pt idx="42">
                  <c:v>157</c:v>
                </c:pt>
                <c:pt idx="43">
                  <c:v>149</c:v>
                </c:pt>
                <c:pt idx="44">
                  <c:v>161</c:v>
                </c:pt>
                <c:pt idx="45">
                  <c:v>176</c:v>
                </c:pt>
                <c:pt idx="46">
                  <c:v>153</c:v>
                </c:pt>
                <c:pt idx="47">
                  <c:v>186</c:v>
                </c:pt>
                <c:pt idx="48">
                  <c:v>190</c:v>
                </c:pt>
                <c:pt idx="49">
                  <c:v>196</c:v>
                </c:pt>
                <c:pt idx="50">
                  <c:v>175</c:v>
                </c:pt>
                <c:pt idx="51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6E-4645-AAC8-268EB9FBE5CF}"/>
            </c:ext>
          </c:extLst>
        </c:ser>
        <c:ser>
          <c:idx val="4"/>
          <c:order val="4"/>
          <c:tx>
            <c:strRef>
              <c:f>'week chart'!$K$1</c:f>
              <c:strCache>
                <c:ptCount val="1"/>
                <c:pt idx="0">
                  <c:v>Y2019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chart'!$K$2:$K$54</c:f>
              <c:numCache>
                <c:formatCode>General</c:formatCode>
                <c:ptCount val="53"/>
                <c:pt idx="0">
                  <c:v>187</c:v>
                </c:pt>
                <c:pt idx="1">
                  <c:v>195</c:v>
                </c:pt>
                <c:pt idx="2">
                  <c:v>203</c:v>
                </c:pt>
                <c:pt idx="3">
                  <c:v>202</c:v>
                </c:pt>
                <c:pt idx="4">
                  <c:v>192</c:v>
                </c:pt>
                <c:pt idx="5">
                  <c:v>195</c:v>
                </c:pt>
                <c:pt idx="6">
                  <c:v>190</c:v>
                </c:pt>
                <c:pt idx="7">
                  <c:v>202</c:v>
                </c:pt>
                <c:pt idx="8">
                  <c:v>202</c:v>
                </c:pt>
                <c:pt idx="9">
                  <c:v>187</c:v>
                </c:pt>
                <c:pt idx="10">
                  <c:v>168</c:v>
                </c:pt>
                <c:pt idx="11">
                  <c:v>163</c:v>
                </c:pt>
                <c:pt idx="12">
                  <c:v>179</c:v>
                </c:pt>
                <c:pt idx="13">
                  <c:v>138</c:v>
                </c:pt>
                <c:pt idx="14">
                  <c:v>174</c:v>
                </c:pt>
                <c:pt idx="15">
                  <c:v>193</c:v>
                </c:pt>
                <c:pt idx="16">
                  <c:v>169</c:v>
                </c:pt>
                <c:pt idx="17">
                  <c:v>146</c:v>
                </c:pt>
                <c:pt idx="18">
                  <c:v>165</c:v>
                </c:pt>
                <c:pt idx="19">
                  <c:v>171</c:v>
                </c:pt>
                <c:pt idx="20">
                  <c:v>158</c:v>
                </c:pt>
                <c:pt idx="21">
                  <c:v>171</c:v>
                </c:pt>
                <c:pt idx="22">
                  <c:v>169</c:v>
                </c:pt>
                <c:pt idx="23">
                  <c:v>154</c:v>
                </c:pt>
                <c:pt idx="24">
                  <c:v>153</c:v>
                </c:pt>
                <c:pt idx="25">
                  <c:v>184</c:v>
                </c:pt>
                <c:pt idx="26">
                  <c:v>163</c:v>
                </c:pt>
                <c:pt idx="27">
                  <c:v>147</c:v>
                </c:pt>
                <c:pt idx="28">
                  <c:v>152</c:v>
                </c:pt>
                <c:pt idx="29">
                  <c:v>221</c:v>
                </c:pt>
                <c:pt idx="30">
                  <c:v>163</c:v>
                </c:pt>
                <c:pt idx="31">
                  <c:v>174</c:v>
                </c:pt>
                <c:pt idx="32">
                  <c:v>139</c:v>
                </c:pt>
                <c:pt idx="33">
                  <c:v>159</c:v>
                </c:pt>
                <c:pt idx="34">
                  <c:v>165</c:v>
                </c:pt>
                <c:pt idx="35">
                  <c:v>170</c:v>
                </c:pt>
                <c:pt idx="36">
                  <c:v>166</c:v>
                </c:pt>
                <c:pt idx="37">
                  <c:v>156</c:v>
                </c:pt>
                <c:pt idx="38">
                  <c:v>148</c:v>
                </c:pt>
                <c:pt idx="39">
                  <c:v>186</c:v>
                </c:pt>
                <c:pt idx="40">
                  <c:v>141</c:v>
                </c:pt>
                <c:pt idx="41">
                  <c:v>152</c:v>
                </c:pt>
                <c:pt idx="42">
                  <c:v>182</c:v>
                </c:pt>
                <c:pt idx="43">
                  <c:v>167</c:v>
                </c:pt>
                <c:pt idx="44">
                  <c:v>164</c:v>
                </c:pt>
                <c:pt idx="45">
                  <c:v>150</c:v>
                </c:pt>
                <c:pt idx="46">
                  <c:v>179</c:v>
                </c:pt>
                <c:pt idx="47">
                  <c:v>152</c:v>
                </c:pt>
                <c:pt idx="48">
                  <c:v>150</c:v>
                </c:pt>
                <c:pt idx="49">
                  <c:v>176</c:v>
                </c:pt>
                <c:pt idx="50">
                  <c:v>189</c:v>
                </c:pt>
                <c:pt idx="51">
                  <c:v>166</c:v>
                </c:pt>
                <c:pt idx="5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6E-4645-AAC8-268EB9FBE5CF}"/>
            </c:ext>
          </c:extLst>
        </c:ser>
        <c:ser>
          <c:idx val="5"/>
          <c:order val="5"/>
          <c:tx>
            <c:strRef>
              <c:f>'week chart'!$L$1</c:f>
              <c:strCache>
                <c:ptCount val="1"/>
                <c:pt idx="0">
                  <c:v>Y2020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chart'!$L$2:$L$54</c:f>
              <c:numCache>
                <c:formatCode>General</c:formatCode>
                <c:ptCount val="53"/>
                <c:pt idx="1">
                  <c:v>185</c:v>
                </c:pt>
                <c:pt idx="2">
                  <c:v>168</c:v>
                </c:pt>
                <c:pt idx="3">
                  <c:v>177</c:v>
                </c:pt>
                <c:pt idx="4">
                  <c:v>194</c:v>
                </c:pt>
                <c:pt idx="5">
                  <c:v>188</c:v>
                </c:pt>
                <c:pt idx="6">
                  <c:v>193</c:v>
                </c:pt>
                <c:pt idx="7">
                  <c:v>191</c:v>
                </c:pt>
                <c:pt idx="8">
                  <c:v>190</c:v>
                </c:pt>
                <c:pt idx="9">
                  <c:v>190</c:v>
                </c:pt>
                <c:pt idx="10">
                  <c:v>193</c:v>
                </c:pt>
                <c:pt idx="11">
                  <c:v>254</c:v>
                </c:pt>
                <c:pt idx="12">
                  <c:v>331</c:v>
                </c:pt>
                <c:pt idx="13">
                  <c:v>482</c:v>
                </c:pt>
                <c:pt idx="14">
                  <c:v>515</c:v>
                </c:pt>
                <c:pt idx="15">
                  <c:v>373</c:v>
                </c:pt>
                <c:pt idx="16">
                  <c:v>309</c:v>
                </c:pt>
                <c:pt idx="17">
                  <c:v>235</c:v>
                </c:pt>
                <c:pt idx="18">
                  <c:v>192</c:v>
                </c:pt>
                <c:pt idx="19">
                  <c:v>175</c:v>
                </c:pt>
                <c:pt idx="20">
                  <c:v>169</c:v>
                </c:pt>
                <c:pt idx="21">
                  <c:v>148</c:v>
                </c:pt>
                <c:pt idx="22">
                  <c:v>147</c:v>
                </c:pt>
                <c:pt idx="23">
                  <c:v>143</c:v>
                </c:pt>
                <c:pt idx="24">
                  <c:v>149</c:v>
                </c:pt>
                <c:pt idx="25">
                  <c:v>161</c:v>
                </c:pt>
                <c:pt idx="26">
                  <c:v>141</c:v>
                </c:pt>
                <c:pt idx="27">
                  <c:v>126</c:v>
                </c:pt>
                <c:pt idx="28">
                  <c:v>140</c:v>
                </c:pt>
                <c:pt idx="29">
                  <c:v>159</c:v>
                </c:pt>
                <c:pt idx="30">
                  <c:v>135</c:v>
                </c:pt>
                <c:pt idx="31">
                  <c:v>158</c:v>
                </c:pt>
                <c:pt idx="32">
                  <c:v>251</c:v>
                </c:pt>
                <c:pt idx="33">
                  <c:v>205</c:v>
                </c:pt>
                <c:pt idx="34">
                  <c:v>126</c:v>
                </c:pt>
                <c:pt idx="35">
                  <c:v>155</c:v>
                </c:pt>
                <c:pt idx="36">
                  <c:v>142</c:v>
                </c:pt>
                <c:pt idx="37">
                  <c:v>150</c:v>
                </c:pt>
                <c:pt idx="38">
                  <c:v>155</c:v>
                </c:pt>
                <c:pt idx="39">
                  <c:v>160</c:v>
                </c:pt>
                <c:pt idx="40">
                  <c:v>184</c:v>
                </c:pt>
                <c:pt idx="41">
                  <c:v>178</c:v>
                </c:pt>
                <c:pt idx="42">
                  <c:v>250</c:v>
                </c:pt>
                <c:pt idx="43">
                  <c:v>316</c:v>
                </c:pt>
                <c:pt idx="44">
                  <c:v>326</c:v>
                </c:pt>
                <c:pt idx="45">
                  <c:v>294</c:v>
                </c:pt>
                <c:pt idx="46">
                  <c:v>276</c:v>
                </c:pt>
                <c:pt idx="47">
                  <c:v>262</c:v>
                </c:pt>
                <c:pt idx="48">
                  <c:v>188</c:v>
                </c:pt>
                <c:pt idx="49">
                  <c:v>225</c:v>
                </c:pt>
                <c:pt idx="50">
                  <c:v>202</c:v>
                </c:pt>
                <c:pt idx="51">
                  <c:v>190</c:v>
                </c:pt>
                <c:pt idx="52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6E-4645-AAC8-268EB9FBE5CF}"/>
            </c:ext>
          </c:extLst>
        </c:ser>
        <c:ser>
          <c:idx val="6"/>
          <c:order val="6"/>
          <c:tx>
            <c:strRef>
              <c:f>'week chart'!$M$1</c:f>
              <c:strCache>
                <c:ptCount val="1"/>
                <c:pt idx="0">
                  <c:v>Y2021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chart'!$M$2:$M$54</c:f>
              <c:numCache>
                <c:formatCode>General</c:formatCode>
                <c:ptCount val="53"/>
                <c:pt idx="0">
                  <c:v>175</c:v>
                </c:pt>
                <c:pt idx="1">
                  <c:v>154</c:v>
                </c:pt>
                <c:pt idx="2">
                  <c:v>168</c:v>
                </c:pt>
                <c:pt idx="3">
                  <c:v>192</c:v>
                </c:pt>
                <c:pt idx="4">
                  <c:v>169</c:v>
                </c:pt>
                <c:pt idx="5">
                  <c:v>171</c:v>
                </c:pt>
                <c:pt idx="6">
                  <c:v>165</c:v>
                </c:pt>
                <c:pt idx="7">
                  <c:v>161</c:v>
                </c:pt>
                <c:pt idx="8">
                  <c:v>178</c:v>
                </c:pt>
                <c:pt idx="9">
                  <c:v>166</c:v>
                </c:pt>
                <c:pt idx="10">
                  <c:v>174</c:v>
                </c:pt>
                <c:pt idx="11">
                  <c:v>155</c:v>
                </c:pt>
                <c:pt idx="12">
                  <c:v>189</c:v>
                </c:pt>
                <c:pt idx="13">
                  <c:v>184</c:v>
                </c:pt>
                <c:pt idx="14">
                  <c:v>188</c:v>
                </c:pt>
                <c:pt idx="15">
                  <c:v>172</c:v>
                </c:pt>
                <c:pt idx="16">
                  <c:v>185</c:v>
                </c:pt>
                <c:pt idx="17">
                  <c:v>223</c:v>
                </c:pt>
                <c:pt idx="18">
                  <c:v>150</c:v>
                </c:pt>
                <c:pt idx="19">
                  <c:v>159</c:v>
                </c:pt>
                <c:pt idx="20">
                  <c:v>163</c:v>
                </c:pt>
                <c:pt idx="21">
                  <c:v>165</c:v>
                </c:pt>
                <c:pt idx="22">
                  <c:v>149</c:v>
                </c:pt>
                <c:pt idx="23">
                  <c:v>175</c:v>
                </c:pt>
                <c:pt idx="24">
                  <c:v>144</c:v>
                </c:pt>
                <c:pt idx="25">
                  <c:v>153</c:v>
                </c:pt>
                <c:pt idx="26">
                  <c:v>134</c:v>
                </c:pt>
                <c:pt idx="27">
                  <c:v>137</c:v>
                </c:pt>
                <c:pt idx="28">
                  <c:v>155</c:v>
                </c:pt>
                <c:pt idx="29">
                  <c:v>146</c:v>
                </c:pt>
                <c:pt idx="30">
                  <c:v>159</c:v>
                </c:pt>
                <c:pt idx="31">
                  <c:v>157</c:v>
                </c:pt>
                <c:pt idx="32">
                  <c:v>151</c:v>
                </c:pt>
                <c:pt idx="33">
                  <c:v>153</c:v>
                </c:pt>
                <c:pt idx="34">
                  <c:v>149</c:v>
                </c:pt>
                <c:pt idx="35">
                  <c:v>163</c:v>
                </c:pt>
                <c:pt idx="36">
                  <c:v>157</c:v>
                </c:pt>
                <c:pt idx="37">
                  <c:v>150</c:v>
                </c:pt>
                <c:pt idx="38">
                  <c:v>165</c:v>
                </c:pt>
                <c:pt idx="39">
                  <c:v>171</c:v>
                </c:pt>
                <c:pt idx="40">
                  <c:v>180</c:v>
                </c:pt>
                <c:pt idx="41">
                  <c:v>183</c:v>
                </c:pt>
                <c:pt idx="42">
                  <c:v>195</c:v>
                </c:pt>
                <c:pt idx="43">
                  <c:v>174</c:v>
                </c:pt>
                <c:pt idx="44">
                  <c:v>187</c:v>
                </c:pt>
                <c:pt idx="45">
                  <c:v>197</c:v>
                </c:pt>
                <c:pt idx="46">
                  <c:v>181</c:v>
                </c:pt>
                <c:pt idx="47">
                  <c:v>190</c:v>
                </c:pt>
                <c:pt idx="48">
                  <c:v>182</c:v>
                </c:pt>
                <c:pt idx="49">
                  <c:v>189</c:v>
                </c:pt>
                <c:pt idx="50">
                  <c:v>199</c:v>
                </c:pt>
                <c:pt idx="51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6E-4645-AAC8-268EB9FBE5CF}"/>
            </c:ext>
          </c:extLst>
        </c:ser>
        <c:ser>
          <c:idx val="7"/>
          <c:order val="7"/>
          <c:tx>
            <c:strRef>
              <c:f>'week chart'!$N$1</c:f>
              <c:strCache>
                <c:ptCount val="1"/>
                <c:pt idx="0">
                  <c:v>Y2022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chart'!$N$2:$N$54</c:f>
              <c:numCache>
                <c:formatCode>General</c:formatCode>
                <c:ptCount val="53"/>
                <c:pt idx="0">
                  <c:v>203</c:v>
                </c:pt>
                <c:pt idx="1">
                  <c:v>172</c:v>
                </c:pt>
                <c:pt idx="2">
                  <c:v>207</c:v>
                </c:pt>
                <c:pt idx="3">
                  <c:v>214</c:v>
                </c:pt>
                <c:pt idx="4">
                  <c:v>223</c:v>
                </c:pt>
                <c:pt idx="5">
                  <c:v>209</c:v>
                </c:pt>
                <c:pt idx="6">
                  <c:v>164</c:v>
                </c:pt>
                <c:pt idx="7">
                  <c:v>152</c:v>
                </c:pt>
                <c:pt idx="8">
                  <c:v>136</c:v>
                </c:pt>
                <c:pt idx="9">
                  <c:v>205</c:v>
                </c:pt>
                <c:pt idx="10">
                  <c:v>188</c:v>
                </c:pt>
                <c:pt idx="11">
                  <c:v>162</c:v>
                </c:pt>
                <c:pt idx="12">
                  <c:v>178</c:v>
                </c:pt>
                <c:pt idx="13">
                  <c:v>176</c:v>
                </c:pt>
                <c:pt idx="14">
                  <c:v>193</c:v>
                </c:pt>
                <c:pt idx="15">
                  <c:v>179</c:v>
                </c:pt>
                <c:pt idx="16">
                  <c:v>149</c:v>
                </c:pt>
                <c:pt idx="17">
                  <c:v>169</c:v>
                </c:pt>
                <c:pt idx="18">
                  <c:v>142</c:v>
                </c:pt>
                <c:pt idx="19">
                  <c:v>161</c:v>
                </c:pt>
                <c:pt idx="20">
                  <c:v>148</c:v>
                </c:pt>
                <c:pt idx="21">
                  <c:v>147</c:v>
                </c:pt>
                <c:pt idx="22">
                  <c:v>149</c:v>
                </c:pt>
                <c:pt idx="23">
                  <c:v>168</c:v>
                </c:pt>
                <c:pt idx="24">
                  <c:v>165</c:v>
                </c:pt>
                <c:pt idx="25">
                  <c:v>153</c:v>
                </c:pt>
                <c:pt idx="26">
                  <c:v>151</c:v>
                </c:pt>
                <c:pt idx="27">
                  <c:v>140</c:v>
                </c:pt>
                <c:pt idx="28">
                  <c:v>199</c:v>
                </c:pt>
                <c:pt idx="29">
                  <c:v>168</c:v>
                </c:pt>
                <c:pt idx="30">
                  <c:v>161</c:v>
                </c:pt>
                <c:pt idx="31">
                  <c:v>177</c:v>
                </c:pt>
                <c:pt idx="32">
                  <c:v>149</c:v>
                </c:pt>
                <c:pt idx="33">
                  <c:v>164</c:v>
                </c:pt>
                <c:pt idx="34">
                  <c:v>138</c:v>
                </c:pt>
                <c:pt idx="35">
                  <c:v>170</c:v>
                </c:pt>
                <c:pt idx="36">
                  <c:v>143</c:v>
                </c:pt>
                <c:pt idx="37">
                  <c:v>135</c:v>
                </c:pt>
                <c:pt idx="38">
                  <c:v>150</c:v>
                </c:pt>
                <c:pt idx="39">
                  <c:v>180</c:v>
                </c:pt>
                <c:pt idx="40">
                  <c:v>151</c:v>
                </c:pt>
                <c:pt idx="41">
                  <c:v>170</c:v>
                </c:pt>
                <c:pt idx="42">
                  <c:v>186</c:v>
                </c:pt>
                <c:pt idx="43">
                  <c:v>166</c:v>
                </c:pt>
                <c:pt idx="44">
                  <c:v>165</c:v>
                </c:pt>
                <c:pt idx="45">
                  <c:v>144</c:v>
                </c:pt>
                <c:pt idx="46">
                  <c:v>185</c:v>
                </c:pt>
                <c:pt idx="47">
                  <c:v>170</c:v>
                </c:pt>
                <c:pt idx="48">
                  <c:v>154</c:v>
                </c:pt>
                <c:pt idx="49">
                  <c:v>212</c:v>
                </c:pt>
                <c:pt idx="50">
                  <c:v>234</c:v>
                </c:pt>
                <c:pt idx="51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6E-4645-AAC8-268EB9FBE5CF}"/>
            </c:ext>
          </c:extLst>
        </c:ser>
        <c:ser>
          <c:idx val="8"/>
          <c:order val="8"/>
          <c:tx>
            <c:strRef>
              <c:f>'week chart'!$O$1</c:f>
              <c:strCache>
                <c:ptCount val="1"/>
                <c:pt idx="0">
                  <c:v>Y2023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'week chart'!$F$2:$F$54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'week chart'!$O$2:$O$54</c:f>
              <c:numCache>
                <c:formatCode>General</c:formatCode>
                <c:ptCount val="53"/>
                <c:pt idx="0">
                  <c:v>212</c:v>
                </c:pt>
                <c:pt idx="1">
                  <c:v>224</c:v>
                </c:pt>
                <c:pt idx="2">
                  <c:v>171</c:v>
                </c:pt>
                <c:pt idx="3">
                  <c:v>159</c:v>
                </c:pt>
                <c:pt idx="4">
                  <c:v>185</c:v>
                </c:pt>
                <c:pt idx="5">
                  <c:v>187</c:v>
                </c:pt>
                <c:pt idx="6">
                  <c:v>168</c:v>
                </c:pt>
                <c:pt idx="7">
                  <c:v>159</c:v>
                </c:pt>
                <c:pt idx="8">
                  <c:v>166</c:v>
                </c:pt>
                <c:pt idx="9">
                  <c:v>170</c:v>
                </c:pt>
                <c:pt idx="10">
                  <c:v>164</c:v>
                </c:pt>
                <c:pt idx="11">
                  <c:v>151</c:v>
                </c:pt>
                <c:pt idx="12">
                  <c:v>178</c:v>
                </c:pt>
                <c:pt idx="13">
                  <c:v>166</c:v>
                </c:pt>
                <c:pt idx="14">
                  <c:v>170</c:v>
                </c:pt>
                <c:pt idx="15">
                  <c:v>158</c:v>
                </c:pt>
                <c:pt idx="16">
                  <c:v>167</c:v>
                </c:pt>
                <c:pt idx="17">
                  <c:v>149</c:v>
                </c:pt>
                <c:pt idx="18">
                  <c:v>174</c:v>
                </c:pt>
                <c:pt idx="19">
                  <c:v>158</c:v>
                </c:pt>
                <c:pt idx="20">
                  <c:v>134</c:v>
                </c:pt>
                <c:pt idx="21">
                  <c:v>150</c:v>
                </c:pt>
                <c:pt idx="22">
                  <c:v>164</c:v>
                </c:pt>
                <c:pt idx="23">
                  <c:v>179</c:v>
                </c:pt>
                <c:pt idx="24">
                  <c:v>120</c:v>
                </c:pt>
                <c:pt idx="25">
                  <c:v>162</c:v>
                </c:pt>
                <c:pt idx="26">
                  <c:v>151</c:v>
                </c:pt>
                <c:pt idx="27">
                  <c:v>150</c:v>
                </c:pt>
                <c:pt idx="28">
                  <c:v>142</c:v>
                </c:pt>
                <c:pt idx="29">
                  <c:v>138</c:v>
                </c:pt>
                <c:pt idx="30">
                  <c:v>144</c:v>
                </c:pt>
                <c:pt idx="31">
                  <c:v>141</c:v>
                </c:pt>
                <c:pt idx="32">
                  <c:v>147</c:v>
                </c:pt>
                <c:pt idx="33">
                  <c:v>162</c:v>
                </c:pt>
                <c:pt idx="34">
                  <c:v>157</c:v>
                </c:pt>
                <c:pt idx="35">
                  <c:v>153</c:v>
                </c:pt>
                <c:pt idx="36">
                  <c:v>158</c:v>
                </c:pt>
                <c:pt idx="37">
                  <c:v>147</c:v>
                </c:pt>
                <c:pt idx="38">
                  <c:v>165</c:v>
                </c:pt>
                <c:pt idx="39">
                  <c:v>175</c:v>
                </c:pt>
                <c:pt idx="40">
                  <c:v>155</c:v>
                </c:pt>
                <c:pt idx="41">
                  <c:v>175</c:v>
                </c:pt>
                <c:pt idx="42">
                  <c:v>176</c:v>
                </c:pt>
                <c:pt idx="43">
                  <c:v>159</c:v>
                </c:pt>
                <c:pt idx="44">
                  <c:v>170</c:v>
                </c:pt>
                <c:pt idx="45">
                  <c:v>185</c:v>
                </c:pt>
                <c:pt idx="46">
                  <c:v>150</c:v>
                </c:pt>
                <c:pt idx="47">
                  <c:v>186</c:v>
                </c:pt>
                <c:pt idx="48">
                  <c:v>209</c:v>
                </c:pt>
                <c:pt idx="49">
                  <c:v>199</c:v>
                </c:pt>
                <c:pt idx="50">
                  <c:v>202</c:v>
                </c:pt>
                <c:pt idx="5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6E-4645-AAC8-268EB9FBE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10159"/>
        <c:axId val="385305359"/>
      </c:lineChart>
      <c:catAx>
        <c:axId val="38531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Week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05359"/>
        <c:crosses val="autoZero"/>
        <c:auto val="1"/>
        <c:lblAlgn val="ctr"/>
        <c:lblOffset val="100"/>
        <c:noMultiLvlLbl val="0"/>
      </c:catAx>
      <c:valAx>
        <c:axId val="3853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Mortality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1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'log-mortity and histogram distr'!$C$1</c:f>
              <c:strCache>
                <c:ptCount val="1"/>
                <c:pt idx="0">
                  <c:v>Log-Mortality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'log-mortity and histogram distr'!$A$2:$A$470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'log-mortity and histogram distr'!$C$2:$C$470</c:f>
              <c:numCache>
                <c:formatCode>General</c:formatCode>
                <c:ptCount val="469"/>
                <c:pt idx="0">
                  <c:v>2.3654879848908998</c:v>
                </c:pt>
                <c:pt idx="1">
                  <c:v>2.287801729930226</c:v>
                </c:pt>
                <c:pt idx="2">
                  <c:v>2.3541084391474008</c:v>
                </c:pt>
                <c:pt idx="3">
                  <c:v>2.3242824552976926</c:v>
                </c:pt>
                <c:pt idx="4">
                  <c:v>2.3856062735983121</c:v>
                </c:pt>
                <c:pt idx="5">
                  <c:v>2.3820170425748683</c:v>
                </c:pt>
                <c:pt idx="6">
                  <c:v>2.357934847000454</c:v>
                </c:pt>
                <c:pt idx="7">
                  <c:v>2.3710678622717363</c:v>
                </c:pt>
                <c:pt idx="8">
                  <c:v>2.3502480183341627</c:v>
                </c:pt>
                <c:pt idx="9">
                  <c:v>2.3263358609287512</c:v>
                </c:pt>
                <c:pt idx="10">
                  <c:v>2.2810333672477277</c:v>
                </c:pt>
                <c:pt idx="11">
                  <c:v>2.2479732663618068</c:v>
                </c:pt>
                <c:pt idx="12">
                  <c:v>2.3010299956639813</c:v>
                </c:pt>
                <c:pt idx="13">
                  <c:v>2.2304489213782741</c:v>
                </c:pt>
                <c:pt idx="14">
                  <c:v>2.2504200023088941</c:v>
                </c:pt>
                <c:pt idx="15">
                  <c:v>2.2479732663618068</c:v>
                </c:pt>
                <c:pt idx="16">
                  <c:v>2.2227164711475833</c:v>
                </c:pt>
                <c:pt idx="17">
                  <c:v>2.2528530309798933</c:v>
                </c:pt>
                <c:pt idx="18">
                  <c:v>2.167317334748176</c:v>
                </c:pt>
                <c:pt idx="19">
                  <c:v>2.1903316981702914</c:v>
                </c:pt>
                <c:pt idx="20">
                  <c:v>2.2329961103921536</c:v>
                </c:pt>
                <c:pt idx="21">
                  <c:v>2.1846914308175989</c:v>
                </c:pt>
                <c:pt idx="22">
                  <c:v>2.2304489213782741</c:v>
                </c:pt>
                <c:pt idx="23">
                  <c:v>2.2121876044039577</c:v>
                </c:pt>
                <c:pt idx="24">
                  <c:v>2.1818435879447726</c:v>
                </c:pt>
                <c:pt idx="25">
                  <c:v>2.287801729930226</c:v>
                </c:pt>
                <c:pt idx="26">
                  <c:v>2.2648178230095364</c:v>
                </c:pt>
                <c:pt idx="27">
                  <c:v>2.1613680022349748</c:v>
                </c:pt>
                <c:pt idx="28">
                  <c:v>2.1613680022349748</c:v>
                </c:pt>
                <c:pt idx="29">
                  <c:v>2.220108088040055</c:v>
                </c:pt>
                <c:pt idx="30">
                  <c:v>2.2833012287035497</c:v>
                </c:pt>
                <c:pt idx="31">
                  <c:v>2.1958996524092336</c:v>
                </c:pt>
                <c:pt idx="32">
                  <c:v>2.1398790864012365</c:v>
                </c:pt>
                <c:pt idx="33">
                  <c:v>2.2380461031287955</c:v>
                </c:pt>
                <c:pt idx="34">
                  <c:v>2.2068258760318495</c:v>
                </c:pt>
                <c:pt idx="35">
                  <c:v>2.173186268412274</c:v>
                </c:pt>
                <c:pt idx="36">
                  <c:v>2.1903316981702914</c:v>
                </c:pt>
                <c:pt idx="37">
                  <c:v>2.2041199826559246</c:v>
                </c:pt>
                <c:pt idx="38">
                  <c:v>2.2455126678141499</c:v>
                </c:pt>
                <c:pt idx="39">
                  <c:v>2.2600713879850747</c:v>
                </c:pt>
                <c:pt idx="40">
                  <c:v>2.220108088040055</c:v>
                </c:pt>
                <c:pt idx="41">
                  <c:v>2.2504200023088941</c:v>
                </c:pt>
                <c:pt idx="42">
                  <c:v>2.2174839442139063</c:v>
                </c:pt>
                <c:pt idx="43">
                  <c:v>2.2121876044039577</c:v>
                </c:pt>
                <c:pt idx="44">
                  <c:v>2.2329961103921536</c:v>
                </c:pt>
                <c:pt idx="45">
                  <c:v>2.287801729930226</c:v>
                </c:pt>
                <c:pt idx="46">
                  <c:v>2.2455126678141499</c:v>
                </c:pt>
                <c:pt idx="47">
                  <c:v>2.167317334748176</c:v>
                </c:pt>
                <c:pt idx="48">
                  <c:v>2.2455126678141499</c:v>
                </c:pt>
                <c:pt idx="49">
                  <c:v>2.1931245983544616</c:v>
                </c:pt>
                <c:pt idx="50">
                  <c:v>2.1789769472931693</c:v>
                </c:pt>
                <c:pt idx="51">
                  <c:v>2.2121876044039577</c:v>
                </c:pt>
                <c:pt idx="52">
                  <c:v>2.2329961103921536</c:v>
                </c:pt>
                <c:pt idx="53">
                  <c:v>2.2810333672477277</c:v>
                </c:pt>
                <c:pt idx="54">
                  <c:v>2.2600713879850747</c:v>
                </c:pt>
                <c:pt idx="55">
                  <c:v>2.2900346113625178</c:v>
                </c:pt>
                <c:pt idx="56">
                  <c:v>2.2833012287035497</c:v>
                </c:pt>
                <c:pt idx="57">
                  <c:v>2.2227164711475833</c:v>
                </c:pt>
                <c:pt idx="58">
                  <c:v>2.220108088040055</c:v>
                </c:pt>
                <c:pt idx="59">
                  <c:v>2.2833012287035497</c:v>
                </c:pt>
                <c:pt idx="60">
                  <c:v>2.2695129442179165</c:v>
                </c:pt>
                <c:pt idx="61">
                  <c:v>2.287801729930226</c:v>
                </c:pt>
                <c:pt idx="62">
                  <c:v>2.2855573090077739</c:v>
                </c:pt>
                <c:pt idx="63">
                  <c:v>2.3654879848908998</c:v>
                </c:pt>
                <c:pt idx="64">
                  <c:v>2.2528530309798933</c:v>
                </c:pt>
                <c:pt idx="65">
                  <c:v>2.1958996524092336</c:v>
                </c:pt>
                <c:pt idx="66">
                  <c:v>2.2504200023088941</c:v>
                </c:pt>
                <c:pt idx="67">
                  <c:v>2.2528530309798933</c:v>
                </c:pt>
                <c:pt idx="68">
                  <c:v>2.2253092817258628</c:v>
                </c:pt>
                <c:pt idx="69">
                  <c:v>2.2479732663618068</c:v>
                </c:pt>
                <c:pt idx="70">
                  <c:v>2.2479732663618068</c:v>
                </c:pt>
                <c:pt idx="71">
                  <c:v>2.1643528557844371</c:v>
                </c:pt>
                <c:pt idx="72">
                  <c:v>2.2355284469075487</c:v>
                </c:pt>
                <c:pt idx="73">
                  <c:v>2.1789769472931693</c:v>
                </c:pt>
                <c:pt idx="74">
                  <c:v>2.1643528557844371</c:v>
                </c:pt>
                <c:pt idx="75">
                  <c:v>2.2504200023088941</c:v>
                </c:pt>
                <c:pt idx="76">
                  <c:v>2.2095150145426308</c:v>
                </c:pt>
                <c:pt idx="77">
                  <c:v>2.1903316981702914</c:v>
                </c:pt>
                <c:pt idx="78">
                  <c:v>2.1903316981702914</c:v>
                </c:pt>
                <c:pt idx="79">
                  <c:v>2.2041199826559246</c:v>
                </c:pt>
                <c:pt idx="80">
                  <c:v>2.2855573090077739</c:v>
                </c:pt>
                <c:pt idx="81">
                  <c:v>2.220108088040055</c:v>
                </c:pt>
                <c:pt idx="82">
                  <c:v>2.1583624920952498</c:v>
                </c:pt>
                <c:pt idx="83">
                  <c:v>2.2227164711475833</c:v>
                </c:pt>
                <c:pt idx="84">
                  <c:v>2.173186268412274</c:v>
                </c:pt>
                <c:pt idx="85">
                  <c:v>2.2504200023088941</c:v>
                </c:pt>
                <c:pt idx="86">
                  <c:v>2.1903316981702914</c:v>
                </c:pt>
                <c:pt idx="87">
                  <c:v>2.1931245983544616</c:v>
                </c:pt>
                <c:pt idx="88">
                  <c:v>2.220108088040055</c:v>
                </c:pt>
                <c:pt idx="89">
                  <c:v>2.1238516409670858</c:v>
                </c:pt>
                <c:pt idx="90">
                  <c:v>2.2174839442139063</c:v>
                </c:pt>
                <c:pt idx="91">
                  <c:v>2.1903316981702914</c:v>
                </c:pt>
                <c:pt idx="92">
                  <c:v>2.2304489213782741</c:v>
                </c:pt>
                <c:pt idx="93">
                  <c:v>2.2576785748691846</c:v>
                </c:pt>
                <c:pt idx="94">
                  <c:v>2.2174839442139063</c:v>
                </c:pt>
                <c:pt idx="95">
                  <c:v>2.2174839442139063</c:v>
                </c:pt>
                <c:pt idx="96">
                  <c:v>2.2855573090077739</c:v>
                </c:pt>
                <c:pt idx="97">
                  <c:v>2.2787536009528289</c:v>
                </c:pt>
                <c:pt idx="98">
                  <c:v>2.2695129442179165</c:v>
                </c:pt>
                <c:pt idx="99">
                  <c:v>2.2833012287035497</c:v>
                </c:pt>
                <c:pt idx="100">
                  <c:v>2.2504200023088941</c:v>
                </c:pt>
                <c:pt idx="101">
                  <c:v>2.287801729930226</c:v>
                </c:pt>
                <c:pt idx="102">
                  <c:v>2.1986570869544226</c:v>
                </c:pt>
                <c:pt idx="103">
                  <c:v>2.3443922736851106</c:v>
                </c:pt>
                <c:pt idx="104">
                  <c:v>2.2966651902615309</c:v>
                </c:pt>
                <c:pt idx="105">
                  <c:v>2.3598354823398879</c:v>
                </c:pt>
                <c:pt idx="106">
                  <c:v>2.3364597338485296</c:v>
                </c:pt>
                <c:pt idx="107">
                  <c:v>2.3404441148401185</c:v>
                </c:pt>
                <c:pt idx="108">
                  <c:v>2.3424226808222062</c:v>
                </c:pt>
                <c:pt idx="109">
                  <c:v>2.2624510897304293</c:v>
                </c:pt>
                <c:pt idx="110">
                  <c:v>2.287801729930226</c:v>
                </c:pt>
                <c:pt idx="111">
                  <c:v>2.2944662261615929</c:v>
                </c:pt>
                <c:pt idx="112">
                  <c:v>2.271841606536499</c:v>
                </c:pt>
                <c:pt idx="113">
                  <c:v>2.2900346113625178</c:v>
                </c:pt>
                <c:pt idx="114">
                  <c:v>2.2504200023088941</c:v>
                </c:pt>
                <c:pt idx="115">
                  <c:v>2.214843848047698</c:v>
                </c:pt>
                <c:pt idx="116">
                  <c:v>2.214843848047698</c:v>
                </c:pt>
                <c:pt idx="117">
                  <c:v>2.167317334748176</c:v>
                </c:pt>
                <c:pt idx="118">
                  <c:v>2.173186268412274</c:v>
                </c:pt>
                <c:pt idx="119">
                  <c:v>2.1903316981702914</c:v>
                </c:pt>
                <c:pt idx="120">
                  <c:v>2.1903316981702914</c:v>
                </c:pt>
                <c:pt idx="121">
                  <c:v>2.2528530309798933</c:v>
                </c:pt>
                <c:pt idx="122">
                  <c:v>2.2455126678141499</c:v>
                </c:pt>
                <c:pt idx="123">
                  <c:v>2.2405492482825999</c:v>
                </c:pt>
                <c:pt idx="124">
                  <c:v>2.1583624920952498</c:v>
                </c:pt>
                <c:pt idx="125">
                  <c:v>2.2380461031287955</c:v>
                </c:pt>
                <c:pt idx="126">
                  <c:v>2.1172712956557644</c:v>
                </c:pt>
                <c:pt idx="127">
                  <c:v>2.1931245983544616</c:v>
                </c:pt>
                <c:pt idx="128">
                  <c:v>2.2600713879850747</c:v>
                </c:pt>
                <c:pt idx="129">
                  <c:v>2.220108088040055</c:v>
                </c:pt>
                <c:pt idx="130">
                  <c:v>2.255272505103306</c:v>
                </c:pt>
                <c:pt idx="131">
                  <c:v>2.2671717284030137</c:v>
                </c:pt>
                <c:pt idx="132">
                  <c:v>2.2013971243204513</c:v>
                </c:pt>
                <c:pt idx="133">
                  <c:v>2.143014800254095</c:v>
                </c:pt>
                <c:pt idx="134">
                  <c:v>2.1986570869544226</c:v>
                </c:pt>
                <c:pt idx="135">
                  <c:v>2.2095150145426308</c:v>
                </c:pt>
                <c:pt idx="136">
                  <c:v>2.1958996524092336</c:v>
                </c:pt>
                <c:pt idx="137">
                  <c:v>2.271841606536499</c:v>
                </c:pt>
                <c:pt idx="138">
                  <c:v>2.1958996524092336</c:v>
                </c:pt>
                <c:pt idx="139">
                  <c:v>2.2430380486862944</c:v>
                </c:pt>
                <c:pt idx="140">
                  <c:v>2.1553360374650619</c:v>
                </c:pt>
                <c:pt idx="141">
                  <c:v>2.220108088040055</c:v>
                </c:pt>
                <c:pt idx="142">
                  <c:v>2.2304489213782741</c:v>
                </c:pt>
                <c:pt idx="143">
                  <c:v>2.1492191126553797</c:v>
                </c:pt>
                <c:pt idx="144">
                  <c:v>2.2455126678141499</c:v>
                </c:pt>
                <c:pt idx="145">
                  <c:v>2.2528530309798933</c:v>
                </c:pt>
                <c:pt idx="146">
                  <c:v>2.2174839442139063</c:v>
                </c:pt>
                <c:pt idx="147">
                  <c:v>2.2787536009528289</c:v>
                </c:pt>
                <c:pt idx="148">
                  <c:v>2.2304489213782741</c:v>
                </c:pt>
                <c:pt idx="149">
                  <c:v>2.2095150145426308</c:v>
                </c:pt>
                <c:pt idx="150">
                  <c:v>2.2430380486862944</c:v>
                </c:pt>
                <c:pt idx="151">
                  <c:v>2.173186268412274</c:v>
                </c:pt>
                <c:pt idx="152">
                  <c:v>2.2695129442179165</c:v>
                </c:pt>
                <c:pt idx="153">
                  <c:v>2.2695129442179165</c:v>
                </c:pt>
                <c:pt idx="154">
                  <c:v>2.2528530309798933</c:v>
                </c:pt>
                <c:pt idx="155">
                  <c:v>2.2504200023088941</c:v>
                </c:pt>
                <c:pt idx="156">
                  <c:v>2.2430380486862944</c:v>
                </c:pt>
                <c:pt idx="157">
                  <c:v>2.2253092817258628</c:v>
                </c:pt>
                <c:pt idx="158">
                  <c:v>2.2504200023088941</c:v>
                </c:pt>
                <c:pt idx="159">
                  <c:v>2.2576785748691846</c:v>
                </c:pt>
                <c:pt idx="160">
                  <c:v>2.2922560713564759</c:v>
                </c:pt>
                <c:pt idx="161">
                  <c:v>2.2576785748691846</c:v>
                </c:pt>
                <c:pt idx="162">
                  <c:v>2.3010299956639813</c:v>
                </c:pt>
                <c:pt idx="163">
                  <c:v>2.2648178230095364</c:v>
                </c:pt>
                <c:pt idx="164">
                  <c:v>2.3541084391474008</c:v>
                </c:pt>
                <c:pt idx="165">
                  <c:v>2.399673721481038</c:v>
                </c:pt>
                <c:pt idx="166">
                  <c:v>2.3010299956639813</c:v>
                </c:pt>
                <c:pt idx="167">
                  <c:v>2.3222192947339191</c:v>
                </c:pt>
                <c:pt idx="168">
                  <c:v>2.255272505103306</c:v>
                </c:pt>
                <c:pt idx="169">
                  <c:v>2.271841606536499</c:v>
                </c:pt>
                <c:pt idx="170">
                  <c:v>2.2227164711475833</c:v>
                </c:pt>
                <c:pt idx="171">
                  <c:v>2.2095150145426308</c:v>
                </c:pt>
                <c:pt idx="172">
                  <c:v>2.1903316981702914</c:v>
                </c:pt>
                <c:pt idx="173">
                  <c:v>2.1958996524092336</c:v>
                </c:pt>
                <c:pt idx="174">
                  <c:v>2.1789769472931693</c:v>
                </c:pt>
                <c:pt idx="175">
                  <c:v>2.1846914308175989</c:v>
                </c:pt>
                <c:pt idx="176">
                  <c:v>2.1583624920952498</c:v>
                </c:pt>
                <c:pt idx="177">
                  <c:v>2.2576785748691846</c:v>
                </c:pt>
                <c:pt idx="178">
                  <c:v>2.1367205671564067</c:v>
                </c:pt>
                <c:pt idx="179">
                  <c:v>2.1461280356782382</c:v>
                </c:pt>
                <c:pt idx="180">
                  <c:v>2.2041199826559246</c:v>
                </c:pt>
                <c:pt idx="181">
                  <c:v>2.2253092817258628</c:v>
                </c:pt>
                <c:pt idx="182">
                  <c:v>2.2600713879850747</c:v>
                </c:pt>
                <c:pt idx="183">
                  <c:v>2.1958996524092336</c:v>
                </c:pt>
                <c:pt idx="184">
                  <c:v>2.214843848047698</c:v>
                </c:pt>
                <c:pt idx="185">
                  <c:v>2.2355284469075487</c:v>
                </c:pt>
                <c:pt idx="186">
                  <c:v>2.2041199826559246</c:v>
                </c:pt>
                <c:pt idx="187">
                  <c:v>2.2900346113625178</c:v>
                </c:pt>
                <c:pt idx="188">
                  <c:v>2.2479732663618068</c:v>
                </c:pt>
                <c:pt idx="189">
                  <c:v>2.1583624920952498</c:v>
                </c:pt>
                <c:pt idx="190">
                  <c:v>2.1461280356782382</c:v>
                </c:pt>
                <c:pt idx="191">
                  <c:v>2.2329961103921536</c:v>
                </c:pt>
                <c:pt idx="192">
                  <c:v>2.1522883443830563</c:v>
                </c:pt>
                <c:pt idx="193">
                  <c:v>2.2068258760318495</c:v>
                </c:pt>
                <c:pt idx="194">
                  <c:v>2.1643528557844371</c:v>
                </c:pt>
                <c:pt idx="195">
                  <c:v>2.1553360374650619</c:v>
                </c:pt>
                <c:pt idx="196">
                  <c:v>2.2405492482825999</c:v>
                </c:pt>
                <c:pt idx="197">
                  <c:v>2.2227164711475833</c:v>
                </c:pt>
                <c:pt idx="198">
                  <c:v>2.1958996524092336</c:v>
                </c:pt>
                <c:pt idx="199">
                  <c:v>2.173186268412274</c:v>
                </c:pt>
                <c:pt idx="200">
                  <c:v>2.2068258760318495</c:v>
                </c:pt>
                <c:pt idx="201">
                  <c:v>2.2455126678141499</c:v>
                </c:pt>
                <c:pt idx="202">
                  <c:v>2.1846914308175989</c:v>
                </c:pt>
                <c:pt idx="203">
                  <c:v>2.2695129442179165</c:v>
                </c:pt>
                <c:pt idx="204">
                  <c:v>2.2787536009528289</c:v>
                </c:pt>
                <c:pt idx="205">
                  <c:v>2.2922560713564759</c:v>
                </c:pt>
                <c:pt idx="206">
                  <c:v>2.2430380486862944</c:v>
                </c:pt>
                <c:pt idx="207">
                  <c:v>2.2068258760318495</c:v>
                </c:pt>
                <c:pt idx="208">
                  <c:v>2.271841606536499</c:v>
                </c:pt>
                <c:pt idx="209">
                  <c:v>2.2900346113625178</c:v>
                </c:pt>
                <c:pt idx="210">
                  <c:v>2.307496037913213</c:v>
                </c:pt>
                <c:pt idx="211">
                  <c:v>2.3053513694466239</c:v>
                </c:pt>
                <c:pt idx="212">
                  <c:v>2.2833012287035497</c:v>
                </c:pt>
                <c:pt idx="213">
                  <c:v>2.2900346113625178</c:v>
                </c:pt>
                <c:pt idx="214">
                  <c:v>2.2787536009528289</c:v>
                </c:pt>
                <c:pt idx="215">
                  <c:v>2.3053513694466239</c:v>
                </c:pt>
                <c:pt idx="216">
                  <c:v>2.3053513694466239</c:v>
                </c:pt>
                <c:pt idx="217">
                  <c:v>2.271841606536499</c:v>
                </c:pt>
                <c:pt idx="218">
                  <c:v>2.2253092817258628</c:v>
                </c:pt>
                <c:pt idx="219">
                  <c:v>2.2121876044039577</c:v>
                </c:pt>
                <c:pt idx="220">
                  <c:v>2.2528530309798933</c:v>
                </c:pt>
                <c:pt idx="221">
                  <c:v>2.1398790864012365</c:v>
                </c:pt>
                <c:pt idx="222">
                  <c:v>2.2405492482825999</c:v>
                </c:pt>
                <c:pt idx="223">
                  <c:v>2.2855573090077739</c:v>
                </c:pt>
                <c:pt idx="224">
                  <c:v>2.2278867046136734</c:v>
                </c:pt>
                <c:pt idx="225">
                  <c:v>2.1643528557844371</c:v>
                </c:pt>
                <c:pt idx="226">
                  <c:v>2.2174839442139063</c:v>
                </c:pt>
                <c:pt idx="227">
                  <c:v>2.2329961103921536</c:v>
                </c:pt>
                <c:pt idx="228">
                  <c:v>2.1986570869544226</c:v>
                </c:pt>
                <c:pt idx="229">
                  <c:v>2.2329961103921536</c:v>
                </c:pt>
                <c:pt idx="230">
                  <c:v>2.2278867046136734</c:v>
                </c:pt>
                <c:pt idx="231">
                  <c:v>2.1875207208364631</c:v>
                </c:pt>
                <c:pt idx="232">
                  <c:v>2.1846914308175989</c:v>
                </c:pt>
                <c:pt idx="233">
                  <c:v>2.2648178230095364</c:v>
                </c:pt>
                <c:pt idx="234">
                  <c:v>2.2121876044039577</c:v>
                </c:pt>
                <c:pt idx="235">
                  <c:v>2.167317334748176</c:v>
                </c:pt>
                <c:pt idx="236">
                  <c:v>2.1818435879447726</c:v>
                </c:pt>
                <c:pt idx="237">
                  <c:v>2.3443922736851106</c:v>
                </c:pt>
                <c:pt idx="238">
                  <c:v>2.2121876044039577</c:v>
                </c:pt>
                <c:pt idx="239">
                  <c:v>2.2405492482825999</c:v>
                </c:pt>
                <c:pt idx="240">
                  <c:v>2.143014800254095</c:v>
                </c:pt>
                <c:pt idx="241">
                  <c:v>2.2013971243204513</c:v>
                </c:pt>
                <c:pt idx="242">
                  <c:v>2.2174839442139063</c:v>
                </c:pt>
                <c:pt idx="243">
                  <c:v>2.2304489213782741</c:v>
                </c:pt>
                <c:pt idx="244">
                  <c:v>2.220108088040055</c:v>
                </c:pt>
                <c:pt idx="245">
                  <c:v>2.1931245983544616</c:v>
                </c:pt>
                <c:pt idx="246">
                  <c:v>2.1702617153949575</c:v>
                </c:pt>
                <c:pt idx="247">
                  <c:v>2.2695129442179165</c:v>
                </c:pt>
                <c:pt idx="248">
                  <c:v>2.1492191126553797</c:v>
                </c:pt>
                <c:pt idx="249">
                  <c:v>2.1818435879447726</c:v>
                </c:pt>
                <c:pt idx="250">
                  <c:v>2.2600713879850747</c:v>
                </c:pt>
                <c:pt idx="251">
                  <c:v>2.2227164711475833</c:v>
                </c:pt>
                <c:pt idx="252">
                  <c:v>2.214843848047698</c:v>
                </c:pt>
                <c:pt idx="253">
                  <c:v>2.1760912590556813</c:v>
                </c:pt>
                <c:pt idx="254">
                  <c:v>2.2528530309798933</c:v>
                </c:pt>
                <c:pt idx="255">
                  <c:v>2.1818435879447726</c:v>
                </c:pt>
                <c:pt idx="256">
                  <c:v>2.1760912590556813</c:v>
                </c:pt>
                <c:pt idx="257">
                  <c:v>2.2455126678141499</c:v>
                </c:pt>
                <c:pt idx="258">
                  <c:v>2.2764618041732443</c:v>
                </c:pt>
                <c:pt idx="259">
                  <c:v>2.220108088040055</c:v>
                </c:pt>
                <c:pt idx="260">
                  <c:v>2.255272505103306</c:v>
                </c:pt>
                <c:pt idx="261">
                  <c:v>2.2671717284030137</c:v>
                </c:pt>
                <c:pt idx="262">
                  <c:v>2.2253092817258628</c:v>
                </c:pt>
                <c:pt idx="263">
                  <c:v>2.2479732663618068</c:v>
                </c:pt>
                <c:pt idx="264">
                  <c:v>2.287801729930226</c:v>
                </c:pt>
                <c:pt idx="265">
                  <c:v>2.27415784926368</c:v>
                </c:pt>
                <c:pt idx="266">
                  <c:v>2.2855573090077739</c:v>
                </c:pt>
                <c:pt idx="267">
                  <c:v>2.2810333672477277</c:v>
                </c:pt>
                <c:pt idx="268">
                  <c:v>2.2787536009528289</c:v>
                </c:pt>
                <c:pt idx="269">
                  <c:v>2.2787536009528289</c:v>
                </c:pt>
                <c:pt idx="270">
                  <c:v>2.2855573090077739</c:v>
                </c:pt>
                <c:pt idx="271">
                  <c:v>2.4048337166199381</c:v>
                </c:pt>
                <c:pt idx="272">
                  <c:v>2.5198279937757189</c:v>
                </c:pt>
                <c:pt idx="273">
                  <c:v>2.6830470382388496</c:v>
                </c:pt>
                <c:pt idx="274">
                  <c:v>2.7118072290411912</c:v>
                </c:pt>
                <c:pt idx="275">
                  <c:v>2.5717088318086878</c:v>
                </c:pt>
                <c:pt idx="276">
                  <c:v>2.4899584794248346</c:v>
                </c:pt>
                <c:pt idx="277">
                  <c:v>2.3710678622717363</c:v>
                </c:pt>
                <c:pt idx="278">
                  <c:v>2.2833012287035497</c:v>
                </c:pt>
                <c:pt idx="279">
                  <c:v>2.2430380486862944</c:v>
                </c:pt>
                <c:pt idx="280">
                  <c:v>2.2278867046136734</c:v>
                </c:pt>
                <c:pt idx="281">
                  <c:v>2.1702617153949575</c:v>
                </c:pt>
                <c:pt idx="282">
                  <c:v>2.167317334748176</c:v>
                </c:pt>
                <c:pt idx="283">
                  <c:v>2.1553360374650619</c:v>
                </c:pt>
                <c:pt idx="284">
                  <c:v>2.173186268412274</c:v>
                </c:pt>
                <c:pt idx="285">
                  <c:v>2.2068258760318495</c:v>
                </c:pt>
                <c:pt idx="286">
                  <c:v>2.1492191126553797</c:v>
                </c:pt>
                <c:pt idx="287">
                  <c:v>2.1003705451175629</c:v>
                </c:pt>
                <c:pt idx="288">
                  <c:v>2.1461280356782382</c:v>
                </c:pt>
                <c:pt idx="289">
                  <c:v>2.2013971243204513</c:v>
                </c:pt>
                <c:pt idx="290">
                  <c:v>2.1303337684950061</c:v>
                </c:pt>
                <c:pt idx="291">
                  <c:v>2.1986570869544226</c:v>
                </c:pt>
                <c:pt idx="292">
                  <c:v>2.399673721481038</c:v>
                </c:pt>
                <c:pt idx="293">
                  <c:v>2.3117538610557542</c:v>
                </c:pt>
                <c:pt idx="294">
                  <c:v>2.1003705451175629</c:v>
                </c:pt>
                <c:pt idx="295">
                  <c:v>2.1903316981702914</c:v>
                </c:pt>
                <c:pt idx="296">
                  <c:v>2.1522883443830563</c:v>
                </c:pt>
                <c:pt idx="297">
                  <c:v>2.1760912590556813</c:v>
                </c:pt>
                <c:pt idx="298">
                  <c:v>2.1903316981702914</c:v>
                </c:pt>
                <c:pt idx="299">
                  <c:v>2.2041199826559246</c:v>
                </c:pt>
                <c:pt idx="300">
                  <c:v>2.2648178230095364</c:v>
                </c:pt>
                <c:pt idx="301">
                  <c:v>2.2504200023088941</c:v>
                </c:pt>
                <c:pt idx="302">
                  <c:v>2.3979400086720375</c:v>
                </c:pt>
                <c:pt idx="303">
                  <c:v>2.4996870826184039</c:v>
                </c:pt>
                <c:pt idx="304">
                  <c:v>2.5132176000679389</c:v>
                </c:pt>
                <c:pt idx="305">
                  <c:v>2.4683473304121573</c:v>
                </c:pt>
                <c:pt idx="306">
                  <c:v>2.4409090820652177</c:v>
                </c:pt>
                <c:pt idx="307">
                  <c:v>2.4183012913197452</c:v>
                </c:pt>
                <c:pt idx="308">
                  <c:v>2.27415784926368</c:v>
                </c:pt>
                <c:pt idx="309">
                  <c:v>2.3521825181113627</c:v>
                </c:pt>
                <c:pt idx="310">
                  <c:v>2.3053513694466239</c:v>
                </c:pt>
                <c:pt idx="311">
                  <c:v>2.2787536009528289</c:v>
                </c:pt>
                <c:pt idx="312">
                  <c:v>2.27415784926368</c:v>
                </c:pt>
                <c:pt idx="313">
                  <c:v>2.2430380486862944</c:v>
                </c:pt>
                <c:pt idx="314">
                  <c:v>2.1875207208364631</c:v>
                </c:pt>
                <c:pt idx="315">
                  <c:v>2.2253092817258628</c:v>
                </c:pt>
                <c:pt idx="316">
                  <c:v>2.2833012287035497</c:v>
                </c:pt>
                <c:pt idx="317">
                  <c:v>2.2278867046136734</c:v>
                </c:pt>
                <c:pt idx="318">
                  <c:v>2.2329961103921536</c:v>
                </c:pt>
                <c:pt idx="319">
                  <c:v>2.2174839442139063</c:v>
                </c:pt>
                <c:pt idx="320">
                  <c:v>2.2068258760318495</c:v>
                </c:pt>
                <c:pt idx="321">
                  <c:v>2.2504200023088941</c:v>
                </c:pt>
                <c:pt idx="322">
                  <c:v>2.220108088040055</c:v>
                </c:pt>
                <c:pt idx="323">
                  <c:v>2.2405492482825999</c:v>
                </c:pt>
                <c:pt idx="324">
                  <c:v>2.1903316981702914</c:v>
                </c:pt>
                <c:pt idx="325">
                  <c:v>2.2764618041732443</c:v>
                </c:pt>
                <c:pt idx="326">
                  <c:v>2.2648178230095364</c:v>
                </c:pt>
                <c:pt idx="327">
                  <c:v>2.27415784926368</c:v>
                </c:pt>
                <c:pt idx="328">
                  <c:v>2.2355284469075487</c:v>
                </c:pt>
                <c:pt idx="329">
                  <c:v>2.2671717284030137</c:v>
                </c:pt>
                <c:pt idx="330">
                  <c:v>2.3483048630481607</c:v>
                </c:pt>
                <c:pt idx="331">
                  <c:v>2.1760912590556813</c:v>
                </c:pt>
                <c:pt idx="332">
                  <c:v>2.2013971243204513</c:v>
                </c:pt>
                <c:pt idx="333">
                  <c:v>2.2121876044039577</c:v>
                </c:pt>
                <c:pt idx="334">
                  <c:v>2.2174839442139063</c:v>
                </c:pt>
                <c:pt idx="335">
                  <c:v>2.173186268412274</c:v>
                </c:pt>
                <c:pt idx="336">
                  <c:v>2.2430380486862944</c:v>
                </c:pt>
                <c:pt idx="337">
                  <c:v>2.1583624920952498</c:v>
                </c:pt>
                <c:pt idx="338">
                  <c:v>2.1846914308175989</c:v>
                </c:pt>
                <c:pt idx="339">
                  <c:v>2.1271047983648077</c:v>
                </c:pt>
                <c:pt idx="340">
                  <c:v>2.1367205671564067</c:v>
                </c:pt>
                <c:pt idx="341">
                  <c:v>2.1903316981702914</c:v>
                </c:pt>
                <c:pt idx="342">
                  <c:v>2.1643528557844371</c:v>
                </c:pt>
                <c:pt idx="343">
                  <c:v>2.2013971243204513</c:v>
                </c:pt>
                <c:pt idx="344">
                  <c:v>2.1958996524092336</c:v>
                </c:pt>
                <c:pt idx="345">
                  <c:v>2.1789769472931693</c:v>
                </c:pt>
                <c:pt idx="346">
                  <c:v>2.1846914308175989</c:v>
                </c:pt>
                <c:pt idx="347">
                  <c:v>2.173186268412274</c:v>
                </c:pt>
                <c:pt idx="348">
                  <c:v>2.2121876044039577</c:v>
                </c:pt>
                <c:pt idx="349">
                  <c:v>2.1958996524092336</c:v>
                </c:pt>
                <c:pt idx="350">
                  <c:v>2.1760912590556813</c:v>
                </c:pt>
                <c:pt idx="351">
                  <c:v>2.2174839442139063</c:v>
                </c:pt>
                <c:pt idx="352">
                  <c:v>2.2329961103921536</c:v>
                </c:pt>
                <c:pt idx="353">
                  <c:v>2.255272505103306</c:v>
                </c:pt>
                <c:pt idx="354">
                  <c:v>2.2624510897304293</c:v>
                </c:pt>
                <c:pt idx="355">
                  <c:v>2.2900346113625178</c:v>
                </c:pt>
                <c:pt idx="356">
                  <c:v>2.2405492482825999</c:v>
                </c:pt>
                <c:pt idx="357">
                  <c:v>2.271841606536499</c:v>
                </c:pt>
                <c:pt idx="358">
                  <c:v>2.2944662261615929</c:v>
                </c:pt>
                <c:pt idx="359">
                  <c:v>2.2576785748691846</c:v>
                </c:pt>
                <c:pt idx="360">
                  <c:v>2.2787536009528289</c:v>
                </c:pt>
                <c:pt idx="361">
                  <c:v>2.2600713879850747</c:v>
                </c:pt>
                <c:pt idx="362">
                  <c:v>2.2764618041732443</c:v>
                </c:pt>
                <c:pt idx="363">
                  <c:v>2.2988530764097068</c:v>
                </c:pt>
                <c:pt idx="364">
                  <c:v>2.307496037913213</c:v>
                </c:pt>
                <c:pt idx="365">
                  <c:v>2.307496037913213</c:v>
                </c:pt>
                <c:pt idx="366">
                  <c:v>2.2355284469075487</c:v>
                </c:pt>
                <c:pt idx="367">
                  <c:v>2.3159703454569178</c:v>
                </c:pt>
                <c:pt idx="368">
                  <c:v>2.330413773349191</c:v>
                </c:pt>
                <c:pt idx="369">
                  <c:v>2.3483048630481607</c:v>
                </c:pt>
                <c:pt idx="370">
                  <c:v>2.3201462861110542</c:v>
                </c:pt>
                <c:pt idx="371">
                  <c:v>2.214843848047698</c:v>
                </c:pt>
                <c:pt idx="372">
                  <c:v>2.1818435879447726</c:v>
                </c:pt>
                <c:pt idx="373">
                  <c:v>2.1335389083702174</c:v>
                </c:pt>
                <c:pt idx="374">
                  <c:v>2.3117538610557542</c:v>
                </c:pt>
                <c:pt idx="375">
                  <c:v>2.27415784926368</c:v>
                </c:pt>
                <c:pt idx="376">
                  <c:v>2.2095150145426308</c:v>
                </c:pt>
                <c:pt idx="377">
                  <c:v>2.2504200023088941</c:v>
                </c:pt>
                <c:pt idx="378">
                  <c:v>2.2455126678141499</c:v>
                </c:pt>
                <c:pt idx="379">
                  <c:v>2.2855573090077739</c:v>
                </c:pt>
                <c:pt idx="380">
                  <c:v>2.2528530309798933</c:v>
                </c:pt>
                <c:pt idx="381">
                  <c:v>2.173186268412274</c:v>
                </c:pt>
                <c:pt idx="382">
                  <c:v>2.2278867046136734</c:v>
                </c:pt>
                <c:pt idx="383">
                  <c:v>2.1522883443830563</c:v>
                </c:pt>
                <c:pt idx="384">
                  <c:v>2.2068258760318495</c:v>
                </c:pt>
                <c:pt idx="385">
                  <c:v>2.1702617153949575</c:v>
                </c:pt>
                <c:pt idx="386">
                  <c:v>2.167317334748176</c:v>
                </c:pt>
                <c:pt idx="387">
                  <c:v>2.173186268412274</c:v>
                </c:pt>
                <c:pt idx="388">
                  <c:v>2.2253092817258628</c:v>
                </c:pt>
                <c:pt idx="389">
                  <c:v>2.2174839442139063</c:v>
                </c:pt>
                <c:pt idx="390">
                  <c:v>2.1846914308175989</c:v>
                </c:pt>
                <c:pt idx="391">
                  <c:v>2.1789769472931693</c:v>
                </c:pt>
                <c:pt idx="392">
                  <c:v>2.1461280356782382</c:v>
                </c:pt>
                <c:pt idx="393">
                  <c:v>2.2988530764097068</c:v>
                </c:pt>
                <c:pt idx="394">
                  <c:v>2.2253092817258628</c:v>
                </c:pt>
                <c:pt idx="395">
                  <c:v>2.2068258760318495</c:v>
                </c:pt>
                <c:pt idx="396">
                  <c:v>2.2479732663618068</c:v>
                </c:pt>
                <c:pt idx="397">
                  <c:v>2.173186268412274</c:v>
                </c:pt>
                <c:pt idx="398">
                  <c:v>2.214843848047698</c:v>
                </c:pt>
                <c:pt idx="399">
                  <c:v>2.1398790864012365</c:v>
                </c:pt>
                <c:pt idx="400">
                  <c:v>2.2304489213782741</c:v>
                </c:pt>
                <c:pt idx="401">
                  <c:v>2.1553360374650619</c:v>
                </c:pt>
                <c:pt idx="402">
                  <c:v>2.1303337684950061</c:v>
                </c:pt>
                <c:pt idx="403">
                  <c:v>2.1760912590556813</c:v>
                </c:pt>
                <c:pt idx="404">
                  <c:v>2.255272505103306</c:v>
                </c:pt>
                <c:pt idx="405">
                  <c:v>2.1789769472931693</c:v>
                </c:pt>
                <c:pt idx="406">
                  <c:v>2.2304489213782741</c:v>
                </c:pt>
                <c:pt idx="407">
                  <c:v>2.2695129442179165</c:v>
                </c:pt>
                <c:pt idx="408">
                  <c:v>2.220108088040055</c:v>
                </c:pt>
                <c:pt idx="409">
                  <c:v>2.2174839442139063</c:v>
                </c:pt>
                <c:pt idx="410">
                  <c:v>2.1583624920952498</c:v>
                </c:pt>
                <c:pt idx="411">
                  <c:v>2.2671717284030137</c:v>
                </c:pt>
                <c:pt idx="412">
                  <c:v>2.2304489213782741</c:v>
                </c:pt>
                <c:pt idx="413">
                  <c:v>2.1875207208364631</c:v>
                </c:pt>
                <c:pt idx="414">
                  <c:v>2.3263358609287512</c:v>
                </c:pt>
                <c:pt idx="415">
                  <c:v>2.369215857410143</c:v>
                </c:pt>
                <c:pt idx="416">
                  <c:v>2.3364597338485296</c:v>
                </c:pt>
                <c:pt idx="417">
                  <c:v>2.3263358609287512</c:v>
                </c:pt>
                <c:pt idx="418">
                  <c:v>2.3502480183341627</c:v>
                </c:pt>
                <c:pt idx="419">
                  <c:v>2.2329961103921536</c:v>
                </c:pt>
                <c:pt idx="420">
                  <c:v>2.2013971243204513</c:v>
                </c:pt>
                <c:pt idx="421">
                  <c:v>2.2671717284030137</c:v>
                </c:pt>
                <c:pt idx="422">
                  <c:v>2.271841606536499</c:v>
                </c:pt>
                <c:pt idx="423">
                  <c:v>2.2253092817258628</c:v>
                </c:pt>
                <c:pt idx="424">
                  <c:v>2.2013971243204513</c:v>
                </c:pt>
                <c:pt idx="425">
                  <c:v>2.220108088040055</c:v>
                </c:pt>
                <c:pt idx="426">
                  <c:v>2.2304489213782741</c:v>
                </c:pt>
                <c:pt idx="427">
                  <c:v>2.214843848047698</c:v>
                </c:pt>
                <c:pt idx="428">
                  <c:v>2.1789769472931693</c:v>
                </c:pt>
                <c:pt idx="429">
                  <c:v>2.2504200023088941</c:v>
                </c:pt>
                <c:pt idx="430">
                  <c:v>2.220108088040055</c:v>
                </c:pt>
                <c:pt idx="431">
                  <c:v>2.2304489213782741</c:v>
                </c:pt>
                <c:pt idx="432">
                  <c:v>2.1986570869544226</c:v>
                </c:pt>
                <c:pt idx="433">
                  <c:v>2.2227164711475833</c:v>
                </c:pt>
                <c:pt idx="434">
                  <c:v>2.173186268412274</c:v>
                </c:pt>
                <c:pt idx="435">
                  <c:v>2.2405492482825999</c:v>
                </c:pt>
                <c:pt idx="436">
                  <c:v>2.1986570869544226</c:v>
                </c:pt>
                <c:pt idx="437">
                  <c:v>2.1271047983648077</c:v>
                </c:pt>
                <c:pt idx="438">
                  <c:v>2.1760912590556813</c:v>
                </c:pt>
                <c:pt idx="439">
                  <c:v>2.214843848047698</c:v>
                </c:pt>
                <c:pt idx="440">
                  <c:v>2.2528530309798933</c:v>
                </c:pt>
                <c:pt idx="441">
                  <c:v>2.0791812460476247</c:v>
                </c:pt>
                <c:pt idx="442">
                  <c:v>2.2095150145426308</c:v>
                </c:pt>
                <c:pt idx="443">
                  <c:v>2.1789769472931693</c:v>
                </c:pt>
                <c:pt idx="444">
                  <c:v>2.1760912590556813</c:v>
                </c:pt>
                <c:pt idx="445">
                  <c:v>2.1522883443830563</c:v>
                </c:pt>
                <c:pt idx="446">
                  <c:v>2.1398790864012365</c:v>
                </c:pt>
                <c:pt idx="447">
                  <c:v>2.1583624920952498</c:v>
                </c:pt>
                <c:pt idx="448">
                  <c:v>2.1492191126553797</c:v>
                </c:pt>
                <c:pt idx="449">
                  <c:v>2.167317334748176</c:v>
                </c:pt>
                <c:pt idx="450">
                  <c:v>2.2095150145426308</c:v>
                </c:pt>
                <c:pt idx="451">
                  <c:v>2.1958996524092336</c:v>
                </c:pt>
                <c:pt idx="452">
                  <c:v>2.1846914308175989</c:v>
                </c:pt>
                <c:pt idx="453">
                  <c:v>2.1986570869544226</c:v>
                </c:pt>
                <c:pt idx="454">
                  <c:v>2.167317334748176</c:v>
                </c:pt>
                <c:pt idx="455">
                  <c:v>2.2174839442139063</c:v>
                </c:pt>
                <c:pt idx="456">
                  <c:v>2.2430380486862944</c:v>
                </c:pt>
                <c:pt idx="457">
                  <c:v>2.1903316981702914</c:v>
                </c:pt>
                <c:pt idx="458">
                  <c:v>2.2430380486862944</c:v>
                </c:pt>
                <c:pt idx="459">
                  <c:v>2.2455126678141499</c:v>
                </c:pt>
                <c:pt idx="460">
                  <c:v>2.2013971243204513</c:v>
                </c:pt>
                <c:pt idx="461">
                  <c:v>2.2304489213782741</c:v>
                </c:pt>
                <c:pt idx="462">
                  <c:v>2.2671717284030137</c:v>
                </c:pt>
                <c:pt idx="463">
                  <c:v>2.1760912590556813</c:v>
                </c:pt>
                <c:pt idx="464">
                  <c:v>2.2695129442179165</c:v>
                </c:pt>
                <c:pt idx="465">
                  <c:v>2.3201462861110542</c:v>
                </c:pt>
                <c:pt idx="466">
                  <c:v>2.2988530764097068</c:v>
                </c:pt>
                <c:pt idx="467">
                  <c:v>2.3053513694466239</c:v>
                </c:pt>
                <c:pt idx="468">
                  <c:v>2.2966651902615309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D-4CAF-8584-01410187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28287"/>
        <c:axId val="814329247"/>
      </c:lineChart>
      <c:dateAx>
        <c:axId val="81432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29247"/>
        <c:crosses val="autoZero"/>
        <c:auto val="1"/>
        <c:lblOffset val="100"/>
        <c:baseTimeUnit val="days"/>
      </c:dateAx>
      <c:valAx>
        <c:axId val="814329247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Log-mortality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2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Excess Mortality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'excess mortality simple'!$D$1</c:f>
              <c:strCache>
                <c:ptCount val="1"/>
                <c:pt idx="0">
                  <c:v>Excess Treshold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'excess mortality simple'!$A$2:$A$470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'excess mortality simple'!$D$2:$D$470</c:f>
              <c:numCache>
                <c:formatCode>General</c:formatCode>
                <c:ptCount val="469"/>
                <c:pt idx="0">
                  <c:v>251.70799999999997</c:v>
                </c:pt>
                <c:pt idx="1">
                  <c:v>251.70799999999997</c:v>
                </c:pt>
                <c:pt idx="2">
                  <c:v>251.70799999999997</c:v>
                </c:pt>
                <c:pt idx="3">
                  <c:v>251.70799999999997</c:v>
                </c:pt>
                <c:pt idx="4">
                  <c:v>251.70799999999997</c:v>
                </c:pt>
                <c:pt idx="5">
                  <c:v>251.70799999999997</c:v>
                </c:pt>
                <c:pt idx="6">
                  <c:v>251.70799999999997</c:v>
                </c:pt>
                <c:pt idx="7">
                  <c:v>251.70799999999997</c:v>
                </c:pt>
                <c:pt idx="8">
                  <c:v>251.70799999999997</c:v>
                </c:pt>
                <c:pt idx="9">
                  <c:v>251.70799999999997</c:v>
                </c:pt>
                <c:pt idx="10">
                  <c:v>251.70799999999997</c:v>
                </c:pt>
                <c:pt idx="11">
                  <c:v>251.70799999999997</c:v>
                </c:pt>
                <c:pt idx="12">
                  <c:v>251.70799999999997</c:v>
                </c:pt>
                <c:pt idx="13">
                  <c:v>251.70799999999997</c:v>
                </c:pt>
                <c:pt idx="14">
                  <c:v>251.70799999999997</c:v>
                </c:pt>
                <c:pt idx="15">
                  <c:v>251.70799999999997</c:v>
                </c:pt>
                <c:pt idx="16">
                  <c:v>251.70799999999997</c:v>
                </c:pt>
                <c:pt idx="17">
                  <c:v>251.70799999999997</c:v>
                </c:pt>
                <c:pt idx="18">
                  <c:v>251.70799999999997</c:v>
                </c:pt>
                <c:pt idx="19">
                  <c:v>251.70799999999997</c:v>
                </c:pt>
                <c:pt idx="20">
                  <c:v>251.70799999999997</c:v>
                </c:pt>
                <c:pt idx="21">
                  <c:v>251.70799999999997</c:v>
                </c:pt>
                <c:pt idx="22">
                  <c:v>251.70799999999997</c:v>
                </c:pt>
                <c:pt idx="23">
                  <c:v>251.70799999999997</c:v>
                </c:pt>
                <c:pt idx="24">
                  <c:v>251.70799999999997</c:v>
                </c:pt>
                <c:pt idx="25">
                  <c:v>251.70799999999997</c:v>
                </c:pt>
                <c:pt idx="26">
                  <c:v>251.70799999999997</c:v>
                </c:pt>
                <c:pt idx="27">
                  <c:v>251.70799999999997</c:v>
                </c:pt>
                <c:pt idx="28">
                  <c:v>251.70799999999997</c:v>
                </c:pt>
                <c:pt idx="29">
                  <c:v>251.70799999999997</c:v>
                </c:pt>
                <c:pt idx="30">
                  <c:v>251.70799999999997</c:v>
                </c:pt>
                <c:pt idx="31">
                  <c:v>251.70799999999997</c:v>
                </c:pt>
                <c:pt idx="32">
                  <c:v>251.70799999999997</c:v>
                </c:pt>
                <c:pt idx="33">
                  <c:v>251.70799999999997</c:v>
                </c:pt>
                <c:pt idx="34">
                  <c:v>251.70799999999997</c:v>
                </c:pt>
                <c:pt idx="35">
                  <c:v>251.70799999999997</c:v>
                </c:pt>
                <c:pt idx="36">
                  <c:v>251.70799999999997</c:v>
                </c:pt>
                <c:pt idx="37">
                  <c:v>251.70799999999997</c:v>
                </c:pt>
                <c:pt idx="38">
                  <c:v>251.70799999999997</c:v>
                </c:pt>
                <c:pt idx="39">
                  <c:v>251.70799999999997</c:v>
                </c:pt>
                <c:pt idx="40">
                  <c:v>251.70799999999997</c:v>
                </c:pt>
                <c:pt idx="41">
                  <c:v>251.70799999999997</c:v>
                </c:pt>
                <c:pt idx="42">
                  <c:v>251.70799999999997</c:v>
                </c:pt>
                <c:pt idx="43">
                  <c:v>251.70799999999997</c:v>
                </c:pt>
                <c:pt idx="44">
                  <c:v>251.70799999999997</c:v>
                </c:pt>
                <c:pt idx="45">
                  <c:v>251.70799999999997</c:v>
                </c:pt>
                <c:pt idx="46">
                  <c:v>251.70799999999997</c:v>
                </c:pt>
                <c:pt idx="47">
                  <c:v>251.70799999999997</c:v>
                </c:pt>
                <c:pt idx="48">
                  <c:v>251.70799999999997</c:v>
                </c:pt>
                <c:pt idx="49">
                  <c:v>251.70799999999997</c:v>
                </c:pt>
                <c:pt idx="50">
                  <c:v>251.70799999999997</c:v>
                </c:pt>
                <c:pt idx="51">
                  <c:v>251.70799999999997</c:v>
                </c:pt>
                <c:pt idx="52">
                  <c:v>251.70799999999997</c:v>
                </c:pt>
                <c:pt idx="53">
                  <c:v>251.70799999999997</c:v>
                </c:pt>
                <c:pt idx="54">
                  <c:v>251.70799999999997</c:v>
                </c:pt>
                <c:pt idx="55">
                  <c:v>251.70799999999997</c:v>
                </c:pt>
                <c:pt idx="56">
                  <c:v>251.70799999999997</c:v>
                </c:pt>
                <c:pt idx="57">
                  <c:v>251.70799999999997</c:v>
                </c:pt>
                <c:pt idx="58">
                  <c:v>251.70799999999997</c:v>
                </c:pt>
                <c:pt idx="59">
                  <c:v>251.70799999999997</c:v>
                </c:pt>
                <c:pt idx="60">
                  <c:v>251.70799999999997</c:v>
                </c:pt>
                <c:pt idx="61">
                  <c:v>251.70799999999997</c:v>
                </c:pt>
                <c:pt idx="62">
                  <c:v>251.70799999999997</c:v>
                </c:pt>
                <c:pt idx="63">
                  <c:v>251.70799999999997</c:v>
                </c:pt>
                <c:pt idx="64">
                  <c:v>251.70799999999997</c:v>
                </c:pt>
                <c:pt idx="65">
                  <c:v>251.70799999999997</c:v>
                </c:pt>
                <c:pt idx="66">
                  <c:v>251.70799999999997</c:v>
                </c:pt>
                <c:pt idx="67">
                  <c:v>251.70799999999997</c:v>
                </c:pt>
                <c:pt idx="68">
                  <c:v>251.70799999999997</c:v>
                </c:pt>
                <c:pt idx="69">
                  <c:v>251.70799999999997</c:v>
                </c:pt>
                <c:pt idx="70">
                  <c:v>251.70799999999997</c:v>
                </c:pt>
                <c:pt idx="71">
                  <c:v>251.70799999999997</c:v>
                </c:pt>
                <c:pt idx="72">
                  <c:v>251.70799999999997</c:v>
                </c:pt>
                <c:pt idx="73">
                  <c:v>251.70799999999997</c:v>
                </c:pt>
                <c:pt idx="74">
                  <c:v>251.70799999999997</c:v>
                </c:pt>
                <c:pt idx="75">
                  <c:v>251.70799999999997</c:v>
                </c:pt>
                <c:pt idx="76">
                  <c:v>251.70799999999997</c:v>
                </c:pt>
                <c:pt idx="77">
                  <c:v>251.70799999999997</c:v>
                </c:pt>
                <c:pt idx="78">
                  <c:v>251.70799999999997</c:v>
                </c:pt>
                <c:pt idx="79">
                  <c:v>251.70799999999997</c:v>
                </c:pt>
                <c:pt idx="80">
                  <c:v>251.70799999999997</c:v>
                </c:pt>
                <c:pt idx="81">
                  <c:v>251.70799999999997</c:v>
                </c:pt>
                <c:pt idx="82">
                  <c:v>251.70799999999997</c:v>
                </c:pt>
                <c:pt idx="83">
                  <c:v>251.70799999999997</c:v>
                </c:pt>
                <c:pt idx="84">
                  <c:v>251.70799999999997</c:v>
                </c:pt>
                <c:pt idx="85">
                  <c:v>251.70799999999997</c:v>
                </c:pt>
                <c:pt idx="86">
                  <c:v>251.70799999999997</c:v>
                </c:pt>
                <c:pt idx="87">
                  <c:v>251.70799999999997</c:v>
                </c:pt>
                <c:pt idx="88">
                  <c:v>251.70799999999997</c:v>
                </c:pt>
                <c:pt idx="89">
                  <c:v>251.70799999999997</c:v>
                </c:pt>
                <c:pt idx="90">
                  <c:v>251.70799999999997</c:v>
                </c:pt>
                <c:pt idx="91">
                  <c:v>251.70799999999997</c:v>
                </c:pt>
                <c:pt idx="92">
                  <c:v>251.70799999999997</c:v>
                </c:pt>
                <c:pt idx="93">
                  <c:v>251.70799999999997</c:v>
                </c:pt>
                <c:pt idx="94">
                  <c:v>251.70799999999997</c:v>
                </c:pt>
                <c:pt idx="95">
                  <c:v>251.70799999999997</c:v>
                </c:pt>
                <c:pt idx="96">
                  <c:v>251.70799999999997</c:v>
                </c:pt>
                <c:pt idx="97">
                  <c:v>251.70799999999997</c:v>
                </c:pt>
                <c:pt idx="98">
                  <c:v>251.70799999999997</c:v>
                </c:pt>
                <c:pt idx="99">
                  <c:v>251.70799999999997</c:v>
                </c:pt>
                <c:pt idx="100">
                  <c:v>251.70799999999997</c:v>
                </c:pt>
                <c:pt idx="101">
                  <c:v>251.70799999999997</c:v>
                </c:pt>
                <c:pt idx="102">
                  <c:v>251.70799999999997</c:v>
                </c:pt>
                <c:pt idx="103">
                  <c:v>251.70799999999997</c:v>
                </c:pt>
                <c:pt idx="104">
                  <c:v>251.70799999999997</c:v>
                </c:pt>
                <c:pt idx="105">
                  <c:v>251.70799999999997</c:v>
                </c:pt>
                <c:pt idx="106">
                  <c:v>251.70799999999997</c:v>
                </c:pt>
                <c:pt idx="107">
                  <c:v>251.70799999999997</c:v>
                </c:pt>
                <c:pt idx="108">
                  <c:v>251.70799999999997</c:v>
                </c:pt>
                <c:pt idx="109">
                  <c:v>251.70799999999997</c:v>
                </c:pt>
                <c:pt idx="110">
                  <c:v>251.70799999999997</c:v>
                </c:pt>
                <c:pt idx="111">
                  <c:v>251.70799999999997</c:v>
                </c:pt>
                <c:pt idx="112">
                  <c:v>251.70799999999997</c:v>
                </c:pt>
                <c:pt idx="113">
                  <c:v>251.70799999999997</c:v>
                </c:pt>
                <c:pt idx="114">
                  <c:v>251.70799999999997</c:v>
                </c:pt>
                <c:pt idx="115">
                  <c:v>251.70799999999997</c:v>
                </c:pt>
                <c:pt idx="116">
                  <c:v>251.70799999999997</c:v>
                </c:pt>
                <c:pt idx="117">
                  <c:v>251.70799999999997</c:v>
                </c:pt>
                <c:pt idx="118">
                  <c:v>251.70799999999997</c:v>
                </c:pt>
                <c:pt idx="119">
                  <c:v>251.70799999999997</c:v>
                </c:pt>
                <c:pt idx="120">
                  <c:v>251.70799999999997</c:v>
                </c:pt>
                <c:pt idx="121">
                  <c:v>251.70799999999997</c:v>
                </c:pt>
                <c:pt idx="122">
                  <c:v>251.70799999999997</c:v>
                </c:pt>
                <c:pt idx="123">
                  <c:v>251.70799999999997</c:v>
                </c:pt>
                <c:pt idx="124">
                  <c:v>251.70799999999997</c:v>
                </c:pt>
                <c:pt idx="125">
                  <c:v>251.70799999999997</c:v>
                </c:pt>
                <c:pt idx="126">
                  <c:v>251.70799999999997</c:v>
                </c:pt>
                <c:pt idx="127">
                  <c:v>251.70799999999997</c:v>
                </c:pt>
                <c:pt idx="128">
                  <c:v>251.70799999999997</c:v>
                </c:pt>
                <c:pt idx="129">
                  <c:v>251.70799999999997</c:v>
                </c:pt>
                <c:pt idx="130">
                  <c:v>251.70799999999997</c:v>
                </c:pt>
                <c:pt idx="131">
                  <c:v>251.70799999999997</c:v>
                </c:pt>
                <c:pt idx="132">
                  <c:v>251.70799999999997</c:v>
                </c:pt>
                <c:pt idx="133">
                  <c:v>251.70799999999997</c:v>
                </c:pt>
                <c:pt idx="134">
                  <c:v>251.70799999999997</c:v>
                </c:pt>
                <c:pt idx="135">
                  <c:v>251.70799999999997</c:v>
                </c:pt>
                <c:pt idx="136">
                  <c:v>251.70799999999997</c:v>
                </c:pt>
                <c:pt idx="137">
                  <c:v>251.70799999999997</c:v>
                </c:pt>
                <c:pt idx="138">
                  <c:v>251.70799999999997</c:v>
                </c:pt>
                <c:pt idx="139">
                  <c:v>251.70799999999997</c:v>
                </c:pt>
                <c:pt idx="140">
                  <c:v>251.70799999999997</c:v>
                </c:pt>
                <c:pt idx="141">
                  <c:v>251.70799999999997</c:v>
                </c:pt>
                <c:pt idx="142">
                  <c:v>251.70799999999997</c:v>
                </c:pt>
                <c:pt idx="143">
                  <c:v>251.70799999999997</c:v>
                </c:pt>
                <c:pt idx="144">
                  <c:v>251.70799999999997</c:v>
                </c:pt>
                <c:pt idx="145">
                  <c:v>251.70799999999997</c:v>
                </c:pt>
                <c:pt idx="146">
                  <c:v>251.70799999999997</c:v>
                </c:pt>
                <c:pt idx="147">
                  <c:v>251.70799999999997</c:v>
                </c:pt>
                <c:pt idx="148">
                  <c:v>251.70799999999997</c:v>
                </c:pt>
                <c:pt idx="149">
                  <c:v>251.70799999999997</c:v>
                </c:pt>
                <c:pt idx="150">
                  <c:v>251.70799999999997</c:v>
                </c:pt>
                <c:pt idx="151">
                  <c:v>251.70799999999997</c:v>
                </c:pt>
                <c:pt idx="152">
                  <c:v>251.70799999999997</c:v>
                </c:pt>
                <c:pt idx="153">
                  <c:v>251.70799999999997</c:v>
                </c:pt>
                <c:pt idx="154">
                  <c:v>251.70799999999997</c:v>
                </c:pt>
                <c:pt idx="155">
                  <c:v>251.70799999999997</c:v>
                </c:pt>
                <c:pt idx="156">
                  <c:v>251.70799999999997</c:v>
                </c:pt>
                <c:pt idx="157">
                  <c:v>251.70799999999997</c:v>
                </c:pt>
                <c:pt idx="158">
                  <c:v>251.70799999999997</c:v>
                </c:pt>
                <c:pt idx="159">
                  <c:v>251.70799999999997</c:v>
                </c:pt>
                <c:pt idx="160">
                  <c:v>251.70799999999997</c:v>
                </c:pt>
                <c:pt idx="161">
                  <c:v>251.70799999999997</c:v>
                </c:pt>
                <c:pt idx="162">
                  <c:v>251.70799999999997</c:v>
                </c:pt>
                <c:pt idx="163">
                  <c:v>251.70799999999997</c:v>
                </c:pt>
                <c:pt idx="164">
                  <c:v>251.70799999999997</c:v>
                </c:pt>
                <c:pt idx="165">
                  <c:v>251.70799999999997</c:v>
                </c:pt>
                <c:pt idx="166">
                  <c:v>251.70799999999997</c:v>
                </c:pt>
                <c:pt idx="167">
                  <c:v>251.70799999999997</c:v>
                </c:pt>
                <c:pt idx="168">
                  <c:v>251.70799999999997</c:v>
                </c:pt>
                <c:pt idx="169">
                  <c:v>251.70799999999997</c:v>
                </c:pt>
                <c:pt idx="170">
                  <c:v>251.70799999999997</c:v>
                </c:pt>
                <c:pt idx="171">
                  <c:v>251.70799999999997</c:v>
                </c:pt>
                <c:pt idx="172">
                  <c:v>251.70799999999997</c:v>
                </c:pt>
                <c:pt idx="173">
                  <c:v>251.70799999999997</c:v>
                </c:pt>
                <c:pt idx="174">
                  <c:v>251.70799999999997</c:v>
                </c:pt>
                <c:pt idx="175">
                  <c:v>251.70799999999997</c:v>
                </c:pt>
                <c:pt idx="176">
                  <c:v>251.70799999999997</c:v>
                </c:pt>
                <c:pt idx="177">
                  <c:v>251.70799999999997</c:v>
                </c:pt>
                <c:pt idx="178">
                  <c:v>251.70799999999997</c:v>
                </c:pt>
                <c:pt idx="179">
                  <c:v>251.70799999999997</c:v>
                </c:pt>
                <c:pt idx="180">
                  <c:v>251.70799999999997</c:v>
                </c:pt>
                <c:pt idx="181">
                  <c:v>251.70799999999997</c:v>
                </c:pt>
                <c:pt idx="182">
                  <c:v>251.70799999999997</c:v>
                </c:pt>
                <c:pt idx="183">
                  <c:v>251.70799999999997</c:v>
                </c:pt>
                <c:pt idx="184">
                  <c:v>251.70799999999997</c:v>
                </c:pt>
                <c:pt idx="185">
                  <c:v>251.70799999999997</c:v>
                </c:pt>
                <c:pt idx="186">
                  <c:v>251.70799999999997</c:v>
                </c:pt>
                <c:pt idx="187">
                  <c:v>251.70799999999997</c:v>
                </c:pt>
                <c:pt idx="188">
                  <c:v>251.70799999999997</c:v>
                </c:pt>
                <c:pt idx="189">
                  <c:v>251.70799999999997</c:v>
                </c:pt>
                <c:pt idx="190">
                  <c:v>251.70799999999997</c:v>
                </c:pt>
                <c:pt idx="191">
                  <c:v>251.70799999999997</c:v>
                </c:pt>
                <c:pt idx="192">
                  <c:v>251.70799999999997</c:v>
                </c:pt>
                <c:pt idx="193">
                  <c:v>251.70799999999997</c:v>
                </c:pt>
                <c:pt idx="194">
                  <c:v>251.70799999999997</c:v>
                </c:pt>
                <c:pt idx="195">
                  <c:v>251.70799999999997</c:v>
                </c:pt>
                <c:pt idx="196">
                  <c:v>251.70799999999997</c:v>
                </c:pt>
                <c:pt idx="197">
                  <c:v>251.70799999999997</c:v>
                </c:pt>
                <c:pt idx="198">
                  <c:v>251.70799999999997</c:v>
                </c:pt>
                <c:pt idx="199">
                  <c:v>251.70799999999997</c:v>
                </c:pt>
                <c:pt idx="200">
                  <c:v>251.70799999999997</c:v>
                </c:pt>
                <c:pt idx="201">
                  <c:v>251.70799999999997</c:v>
                </c:pt>
                <c:pt idx="202">
                  <c:v>251.70799999999997</c:v>
                </c:pt>
                <c:pt idx="203">
                  <c:v>251.70799999999997</c:v>
                </c:pt>
                <c:pt idx="204">
                  <c:v>251.70799999999997</c:v>
                </c:pt>
                <c:pt idx="205">
                  <c:v>251.70799999999997</c:v>
                </c:pt>
                <c:pt idx="206">
                  <c:v>251.70799999999997</c:v>
                </c:pt>
                <c:pt idx="207">
                  <c:v>251.70799999999997</c:v>
                </c:pt>
                <c:pt idx="208">
                  <c:v>251.70799999999997</c:v>
                </c:pt>
                <c:pt idx="209">
                  <c:v>251.70799999999997</c:v>
                </c:pt>
                <c:pt idx="210">
                  <c:v>251.70799999999997</c:v>
                </c:pt>
                <c:pt idx="211">
                  <c:v>251.70799999999997</c:v>
                </c:pt>
                <c:pt idx="212">
                  <c:v>251.70799999999997</c:v>
                </c:pt>
                <c:pt idx="213">
                  <c:v>251.70799999999997</c:v>
                </c:pt>
                <c:pt idx="214">
                  <c:v>251.70799999999997</c:v>
                </c:pt>
                <c:pt idx="215">
                  <c:v>251.70799999999997</c:v>
                </c:pt>
                <c:pt idx="216">
                  <c:v>251.70799999999997</c:v>
                </c:pt>
                <c:pt idx="217">
                  <c:v>251.70799999999997</c:v>
                </c:pt>
                <c:pt idx="218">
                  <c:v>251.70799999999997</c:v>
                </c:pt>
                <c:pt idx="219">
                  <c:v>251.70799999999997</c:v>
                </c:pt>
                <c:pt idx="220">
                  <c:v>251.70799999999997</c:v>
                </c:pt>
                <c:pt idx="221">
                  <c:v>251.70799999999997</c:v>
                </c:pt>
                <c:pt idx="222">
                  <c:v>251.70799999999997</c:v>
                </c:pt>
                <c:pt idx="223">
                  <c:v>251.70799999999997</c:v>
                </c:pt>
                <c:pt idx="224">
                  <c:v>251.70799999999997</c:v>
                </c:pt>
                <c:pt idx="225">
                  <c:v>251.70799999999997</c:v>
                </c:pt>
                <c:pt idx="226">
                  <c:v>251.70799999999997</c:v>
                </c:pt>
                <c:pt idx="227">
                  <c:v>251.70799999999997</c:v>
                </c:pt>
                <c:pt idx="228">
                  <c:v>251.70799999999997</c:v>
                </c:pt>
                <c:pt idx="229">
                  <c:v>251.70799999999997</c:v>
                </c:pt>
                <c:pt idx="230">
                  <c:v>251.70799999999997</c:v>
                </c:pt>
                <c:pt idx="231">
                  <c:v>251.70799999999997</c:v>
                </c:pt>
                <c:pt idx="232">
                  <c:v>251.70799999999997</c:v>
                </c:pt>
                <c:pt idx="233">
                  <c:v>251.70799999999997</c:v>
                </c:pt>
                <c:pt idx="234">
                  <c:v>251.70799999999997</c:v>
                </c:pt>
                <c:pt idx="235">
                  <c:v>251.70799999999997</c:v>
                </c:pt>
                <c:pt idx="236">
                  <c:v>251.70799999999997</c:v>
                </c:pt>
                <c:pt idx="237">
                  <c:v>251.70799999999997</c:v>
                </c:pt>
                <c:pt idx="238">
                  <c:v>251.70799999999997</c:v>
                </c:pt>
                <c:pt idx="239">
                  <c:v>251.70799999999997</c:v>
                </c:pt>
                <c:pt idx="240">
                  <c:v>251.70799999999997</c:v>
                </c:pt>
                <c:pt idx="241">
                  <c:v>251.70799999999997</c:v>
                </c:pt>
                <c:pt idx="242">
                  <c:v>251.70799999999997</c:v>
                </c:pt>
                <c:pt idx="243">
                  <c:v>251.70799999999997</c:v>
                </c:pt>
                <c:pt idx="244">
                  <c:v>251.70799999999997</c:v>
                </c:pt>
                <c:pt idx="245">
                  <c:v>251.70799999999997</c:v>
                </c:pt>
                <c:pt idx="246">
                  <c:v>251.70799999999997</c:v>
                </c:pt>
                <c:pt idx="247">
                  <c:v>251.70799999999997</c:v>
                </c:pt>
                <c:pt idx="248">
                  <c:v>251.70799999999997</c:v>
                </c:pt>
                <c:pt idx="249">
                  <c:v>251.70799999999997</c:v>
                </c:pt>
                <c:pt idx="250">
                  <c:v>251.70799999999997</c:v>
                </c:pt>
                <c:pt idx="251">
                  <c:v>251.70799999999997</c:v>
                </c:pt>
                <c:pt idx="252">
                  <c:v>251.70799999999997</c:v>
                </c:pt>
                <c:pt idx="253">
                  <c:v>251.70799999999997</c:v>
                </c:pt>
                <c:pt idx="254">
                  <c:v>251.70799999999997</c:v>
                </c:pt>
                <c:pt idx="255">
                  <c:v>251.70799999999997</c:v>
                </c:pt>
                <c:pt idx="256">
                  <c:v>251.70799999999997</c:v>
                </c:pt>
                <c:pt idx="257">
                  <c:v>251.70799999999997</c:v>
                </c:pt>
                <c:pt idx="258">
                  <c:v>251.70799999999997</c:v>
                </c:pt>
                <c:pt idx="259">
                  <c:v>251.70799999999997</c:v>
                </c:pt>
                <c:pt idx="260">
                  <c:v>251.70799999999997</c:v>
                </c:pt>
                <c:pt idx="261">
                  <c:v>251.70799999999997</c:v>
                </c:pt>
                <c:pt idx="262">
                  <c:v>251.70799999999997</c:v>
                </c:pt>
                <c:pt idx="263">
                  <c:v>251.70799999999997</c:v>
                </c:pt>
                <c:pt idx="264">
                  <c:v>251.70799999999997</c:v>
                </c:pt>
                <c:pt idx="265">
                  <c:v>251.70799999999997</c:v>
                </c:pt>
                <c:pt idx="266">
                  <c:v>251.70799999999997</c:v>
                </c:pt>
                <c:pt idx="267">
                  <c:v>251.70799999999997</c:v>
                </c:pt>
                <c:pt idx="268">
                  <c:v>251.70799999999997</c:v>
                </c:pt>
                <c:pt idx="269">
                  <c:v>251.70799999999997</c:v>
                </c:pt>
                <c:pt idx="270">
                  <c:v>251.70799999999997</c:v>
                </c:pt>
                <c:pt idx="271">
                  <c:v>251.70799999999997</c:v>
                </c:pt>
                <c:pt idx="272">
                  <c:v>251.70799999999997</c:v>
                </c:pt>
                <c:pt idx="273">
                  <c:v>251.70799999999997</c:v>
                </c:pt>
                <c:pt idx="274">
                  <c:v>251.70799999999997</c:v>
                </c:pt>
                <c:pt idx="275">
                  <c:v>251.70799999999997</c:v>
                </c:pt>
                <c:pt idx="276">
                  <c:v>251.70799999999997</c:v>
                </c:pt>
                <c:pt idx="277">
                  <c:v>251.70799999999997</c:v>
                </c:pt>
                <c:pt idx="278">
                  <c:v>251.70799999999997</c:v>
                </c:pt>
                <c:pt idx="279">
                  <c:v>251.70799999999997</c:v>
                </c:pt>
                <c:pt idx="280">
                  <c:v>251.70799999999997</c:v>
                </c:pt>
                <c:pt idx="281">
                  <c:v>251.70799999999997</c:v>
                </c:pt>
                <c:pt idx="282">
                  <c:v>251.70799999999997</c:v>
                </c:pt>
                <c:pt idx="283">
                  <c:v>251.70799999999997</c:v>
                </c:pt>
                <c:pt idx="284">
                  <c:v>251.70799999999997</c:v>
                </c:pt>
                <c:pt idx="285">
                  <c:v>251.70799999999997</c:v>
                </c:pt>
                <c:pt idx="286">
                  <c:v>251.70799999999997</c:v>
                </c:pt>
                <c:pt idx="287">
                  <c:v>251.70799999999997</c:v>
                </c:pt>
                <c:pt idx="288">
                  <c:v>251.70799999999997</c:v>
                </c:pt>
                <c:pt idx="289">
                  <c:v>251.70799999999997</c:v>
                </c:pt>
                <c:pt idx="290">
                  <c:v>251.70799999999997</c:v>
                </c:pt>
                <c:pt idx="291">
                  <c:v>251.70799999999997</c:v>
                </c:pt>
                <c:pt idx="292">
                  <c:v>251.70799999999997</c:v>
                </c:pt>
                <c:pt idx="293">
                  <c:v>251.70799999999997</c:v>
                </c:pt>
                <c:pt idx="294">
                  <c:v>251.70799999999997</c:v>
                </c:pt>
                <c:pt idx="295">
                  <c:v>251.70799999999997</c:v>
                </c:pt>
                <c:pt idx="296">
                  <c:v>251.70799999999997</c:v>
                </c:pt>
                <c:pt idx="297">
                  <c:v>251.70799999999997</c:v>
                </c:pt>
                <c:pt idx="298">
                  <c:v>251.70799999999997</c:v>
                </c:pt>
                <c:pt idx="299">
                  <c:v>251.70799999999997</c:v>
                </c:pt>
                <c:pt idx="300">
                  <c:v>251.70799999999997</c:v>
                </c:pt>
                <c:pt idx="301">
                  <c:v>251.70799999999997</c:v>
                </c:pt>
                <c:pt idx="302">
                  <c:v>251.70799999999997</c:v>
                </c:pt>
                <c:pt idx="303">
                  <c:v>251.70799999999997</c:v>
                </c:pt>
                <c:pt idx="304">
                  <c:v>251.70799999999997</c:v>
                </c:pt>
                <c:pt idx="305">
                  <c:v>251.70799999999997</c:v>
                </c:pt>
                <c:pt idx="306">
                  <c:v>251.70799999999997</c:v>
                </c:pt>
                <c:pt idx="307">
                  <c:v>251.70799999999997</c:v>
                </c:pt>
                <c:pt idx="308">
                  <c:v>251.70799999999997</c:v>
                </c:pt>
                <c:pt idx="309">
                  <c:v>251.70799999999997</c:v>
                </c:pt>
                <c:pt idx="310">
                  <c:v>251.70799999999997</c:v>
                </c:pt>
                <c:pt idx="311">
                  <c:v>251.70799999999997</c:v>
                </c:pt>
                <c:pt idx="312">
                  <c:v>251.70799999999997</c:v>
                </c:pt>
                <c:pt idx="313">
                  <c:v>251.70799999999997</c:v>
                </c:pt>
                <c:pt idx="314">
                  <c:v>251.70799999999997</c:v>
                </c:pt>
                <c:pt idx="315">
                  <c:v>251.70799999999997</c:v>
                </c:pt>
                <c:pt idx="316">
                  <c:v>251.70799999999997</c:v>
                </c:pt>
                <c:pt idx="317">
                  <c:v>251.70799999999997</c:v>
                </c:pt>
                <c:pt idx="318">
                  <c:v>251.70799999999997</c:v>
                </c:pt>
                <c:pt idx="319">
                  <c:v>251.70799999999997</c:v>
                </c:pt>
                <c:pt idx="320">
                  <c:v>251.70799999999997</c:v>
                </c:pt>
                <c:pt idx="321">
                  <c:v>251.70799999999997</c:v>
                </c:pt>
                <c:pt idx="322">
                  <c:v>251.70799999999997</c:v>
                </c:pt>
                <c:pt idx="323">
                  <c:v>251.70799999999997</c:v>
                </c:pt>
                <c:pt idx="324">
                  <c:v>251.70799999999997</c:v>
                </c:pt>
                <c:pt idx="325">
                  <c:v>251.70799999999997</c:v>
                </c:pt>
                <c:pt idx="326">
                  <c:v>251.70799999999997</c:v>
                </c:pt>
                <c:pt idx="327">
                  <c:v>251.70799999999997</c:v>
                </c:pt>
                <c:pt idx="328">
                  <c:v>251.70799999999997</c:v>
                </c:pt>
                <c:pt idx="329">
                  <c:v>251.70799999999997</c:v>
                </c:pt>
                <c:pt idx="330">
                  <c:v>251.70799999999997</c:v>
                </c:pt>
                <c:pt idx="331">
                  <c:v>251.70799999999997</c:v>
                </c:pt>
                <c:pt idx="332">
                  <c:v>251.70799999999997</c:v>
                </c:pt>
                <c:pt idx="333">
                  <c:v>251.70799999999997</c:v>
                </c:pt>
                <c:pt idx="334">
                  <c:v>251.70799999999997</c:v>
                </c:pt>
                <c:pt idx="335">
                  <c:v>251.70799999999997</c:v>
                </c:pt>
                <c:pt idx="336">
                  <c:v>251.70799999999997</c:v>
                </c:pt>
                <c:pt idx="337">
                  <c:v>251.70799999999997</c:v>
                </c:pt>
                <c:pt idx="338">
                  <c:v>251.70799999999997</c:v>
                </c:pt>
                <c:pt idx="339">
                  <c:v>251.70799999999997</c:v>
                </c:pt>
                <c:pt idx="340">
                  <c:v>251.70799999999997</c:v>
                </c:pt>
                <c:pt idx="341">
                  <c:v>251.70799999999997</c:v>
                </c:pt>
                <c:pt idx="342">
                  <c:v>251.70799999999997</c:v>
                </c:pt>
                <c:pt idx="343">
                  <c:v>251.70799999999997</c:v>
                </c:pt>
                <c:pt idx="344">
                  <c:v>251.70799999999997</c:v>
                </c:pt>
                <c:pt idx="345">
                  <c:v>251.70799999999997</c:v>
                </c:pt>
                <c:pt idx="346">
                  <c:v>251.70799999999997</c:v>
                </c:pt>
                <c:pt idx="347">
                  <c:v>251.70799999999997</c:v>
                </c:pt>
                <c:pt idx="348">
                  <c:v>251.70799999999997</c:v>
                </c:pt>
                <c:pt idx="349">
                  <c:v>251.70799999999997</c:v>
                </c:pt>
                <c:pt idx="350">
                  <c:v>251.70799999999997</c:v>
                </c:pt>
                <c:pt idx="351">
                  <c:v>251.70799999999997</c:v>
                </c:pt>
                <c:pt idx="352">
                  <c:v>251.70799999999997</c:v>
                </c:pt>
                <c:pt idx="353">
                  <c:v>251.70799999999997</c:v>
                </c:pt>
                <c:pt idx="354">
                  <c:v>251.70799999999997</c:v>
                </c:pt>
                <c:pt idx="355">
                  <c:v>251.70799999999997</c:v>
                </c:pt>
                <c:pt idx="356">
                  <c:v>251.70799999999997</c:v>
                </c:pt>
                <c:pt idx="357">
                  <c:v>251.70799999999997</c:v>
                </c:pt>
                <c:pt idx="358">
                  <c:v>251.70799999999997</c:v>
                </c:pt>
                <c:pt idx="359">
                  <c:v>251.70799999999997</c:v>
                </c:pt>
                <c:pt idx="360">
                  <c:v>251.70799999999997</c:v>
                </c:pt>
                <c:pt idx="361">
                  <c:v>251.70799999999997</c:v>
                </c:pt>
                <c:pt idx="362">
                  <c:v>251.70799999999997</c:v>
                </c:pt>
                <c:pt idx="363">
                  <c:v>251.70799999999997</c:v>
                </c:pt>
                <c:pt idx="364">
                  <c:v>251.70799999999997</c:v>
                </c:pt>
                <c:pt idx="365">
                  <c:v>251.70799999999997</c:v>
                </c:pt>
                <c:pt idx="366">
                  <c:v>251.70799999999997</c:v>
                </c:pt>
                <c:pt idx="367">
                  <c:v>251.70799999999997</c:v>
                </c:pt>
                <c:pt idx="368">
                  <c:v>251.70799999999997</c:v>
                </c:pt>
                <c:pt idx="369">
                  <c:v>251.70799999999997</c:v>
                </c:pt>
                <c:pt idx="370">
                  <c:v>251.70799999999997</c:v>
                </c:pt>
                <c:pt idx="371">
                  <c:v>251.70799999999997</c:v>
                </c:pt>
                <c:pt idx="372">
                  <c:v>251.70799999999997</c:v>
                </c:pt>
                <c:pt idx="373">
                  <c:v>251.70799999999997</c:v>
                </c:pt>
                <c:pt idx="374">
                  <c:v>251.70799999999997</c:v>
                </c:pt>
                <c:pt idx="375">
                  <c:v>251.70799999999997</c:v>
                </c:pt>
                <c:pt idx="376">
                  <c:v>251.70799999999997</c:v>
                </c:pt>
                <c:pt idx="377">
                  <c:v>251.70799999999997</c:v>
                </c:pt>
                <c:pt idx="378">
                  <c:v>251.70799999999997</c:v>
                </c:pt>
                <c:pt idx="379">
                  <c:v>251.70799999999997</c:v>
                </c:pt>
                <c:pt idx="380">
                  <c:v>251.70799999999997</c:v>
                </c:pt>
                <c:pt idx="381">
                  <c:v>251.70799999999997</c:v>
                </c:pt>
                <c:pt idx="382">
                  <c:v>251.70799999999997</c:v>
                </c:pt>
                <c:pt idx="383">
                  <c:v>251.70799999999997</c:v>
                </c:pt>
                <c:pt idx="384">
                  <c:v>251.70799999999997</c:v>
                </c:pt>
                <c:pt idx="385">
                  <c:v>251.70799999999997</c:v>
                </c:pt>
                <c:pt idx="386">
                  <c:v>251.70799999999997</c:v>
                </c:pt>
                <c:pt idx="387">
                  <c:v>251.70799999999997</c:v>
                </c:pt>
                <c:pt idx="388">
                  <c:v>251.70799999999997</c:v>
                </c:pt>
                <c:pt idx="389">
                  <c:v>251.70799999999997</c:v>
                </c:pt>
                <c:pt idx="390">
                  <c:v>251.70799999999997</c:v>
                </c:pt>
                <c:pt idx="391">
                  <c:v>251.70799999999997</c:v>
                </c:pt>
                <c:pt idx="392">
                  <c:v>251.70799999999997</c:v>
                </c:pt>
                <c:pt idx="393">
                  <c:v>251.70799999999997</c:v>
                </c:pt>
                <c:pt idx="394">
                  <c:v>251.70799999999997</c:v>
                </c:pt>
                <c:pt idx="395">
                  <c:v>251.70799999999997</c:v>
                </c:pt>
                <c:pt idx="396">
                  <c:v>251.70799999999997</c:v>
                </c:pt>
                <c:pt idx="397">
                  <c:v>251.70799999999997</c:v>
                </c:pt>
                <c:pt idx="398">
                  <c:v>251.70799999999997</c:v>
                </c:pt>
                <c:pt idx="399">
                  <c:v>251.70799999999997</c:v>
                </c:pt>
                <c:pt idx="400">
                  <c:v>251.70799999999997</c:v>
                </c:pt>
                <c:pt idx="401">
                  <c:v>251.70799999999997</c:v>
                </c:pt>
                <c:pt idx="402">
                  <c:v>251.70799999999997</c:v>
                </c:pt>
                <c:pt idx="403">
                  <c:v>251.70799999999997</c:v>
                </c:pt>
                <c:pt idx="404">
                  <c:v>251.70799999999997</c:v>
                </c:pt>
                <c:pt idx="405">
                  <c:v>251.70799999999997</c:v>
                </c:pt>
                <c:pt idx="406">
                  <c:v>251.70799999999997</c:v>
                </c:pt>
                <c:pt idx="407">
                  <c:v>251.70799999999997</c:v>
                </c:pt>
                <c:pt idx="408">
                  <c:v>251.70799999999997</c:v>
                </c:pt>
                <c:pt idx="409">
                  <c:v>251.70799999999997</c:v>
                </c:pt>
                <c:pt idx="410">
                  <c:v>251.70799999999997</c:v>
                </c:pt>
                <c:pt idx="411">
                  <c:v>251.70799999999997</c:v>
                </c:pt>
                <c:pt idx="412">
                  <c:v>251.70799999999997</c:v>
                </c:pt>
                <c:pt idx="413">
                  <c:v>251.70799999999997</c:v>
                </c:pt>
                <c:pt idx="414">
                  <c:v>251.70799999999997</c:v>
                </c:pt>
                <c:pt idx="415">
                  <c:v>251.70799999999997</c:v>
                </c:pt>
                <c:pt idx="416">
                  <c:v>251.70799999999997</c:v>
                </c:pt>
                <c:pt idx="417">
                  <c:v>251.70799999999997</c:v>
                </c:pt>
                <c:pt idx="418">
                  <c:v>251.70799999999997</c:v>
                </c:pt>
                <c:pt idx="419">
                  <c:v>251.70799999999997</c:v>
                </c:pt>
                <c:pt idx="420">
                  <c:v>251.70799999999997</c:v>
                </c:pt>
                <c:pt idx="421">
                  <c:v>251.70799999999997</c:v>
                </c:pt>
                <c:pt idx="422">
                  <c:v>251.70799999999997</c:v>
                </c:pt>
                <c:pt idx="423">
                  <c:v>251.70799999999997</c:v>
                </c:pt>
                <c:pt idx="424">
                  <c:v>251.70799999999997</c:v>
                </c:pt>
                <c:pt idx="425">
                  <c:v>251.70799999999997</c:v>
                </c:pt>
                <c:pt idx="426">
                  <c:v>251.70799999999997</c:v>
                </c:pt>
                <c:pt idx="427">
                  <c:v>251.70799999999997</c:v>
                </c:pt>
                <c:pt idx="428">
                  <c:v>251.70799999999997</c:v>
                </c:pt>
                <c:pt idx="429">
                  <c:v>251.70799999999997</c:v>
                </c:pt>
                <c:pt idx="430">
                  <c:v>251.70799999999997</c:v>
                </c:pt>
                <c:pt idx="431">
                  <c:v>251.70799999999997</c:v>
                </c:pt>
                <c:pt idx="432">
                  <c:v>251.70799999999997</c:v>
                </c:pt>
                <c:pt idx="433">
                  <c:v>251.70799999999997</c:v>
                </c:pt>
                <c:pt idx="434">
                  <c:v>251.70799999999997</c:v>
                </c:pt>
                <c:pt idx="435">
                  <c:v>251.70799999999997</c:v>
                </c:pt>
                <c:pt idx="436">
                  <c:v>251.70799999999997</c:v>
                </c:pt>
                <c:pt idx="437">
                  <c:v>251.70799999999997</c:v>
                </c:pt>
                <c:pt idx="438">
                  <c:v>251.70799999999997</c:v>
                </c:pt>
                <c:pt idx="439">
                  <c:v>251.70799999999997</c:v>
                </c:pt>
                <c:pt idx="440">
                  <c:v>251.70799999999997</c:v>
                </c:pt>
                <c:pt idx="441">
                  <c:v>251.70799999999997</c:v>
                </c:pt>
                <c:pt idx="442">
                  <c:v>251.70799999999997</c:v>
                </c:pt>
                <c:pt idx="443">
                  <c:v>251.70799999999997</c:v>
                </c:pt>
                <c:pt idx="444">
                  <c:v>251.70799999999997</c:v>
                </c:pt>
                <c:pt idx="445">
                  <c:v>251.70799999999997</c:v>
                </c:pt>
                <c:pt idx="446">
                  <c:v>251.70799999999997</c:v>
                </c:pt>
                <c:pt idx="447">
                  <c:v>251.70799999999997</c:v>
                </c:pt>
                <c:pt idx="448">
                  <c:v>251.70799999999997</c:v>
                </c:pt>
                <c:pt idx="449">
                  <c:v>251.70799999999997</c:v>
                </c:pt>
                <c:pt idx="450">
                  <c:v>251.70799999999997</c:v>
                </c:pt>
                <c:pt idx="451">
                  <c:v>251.70799999999997</c:v>
                </c:pt>
                <c:pt idx="452">
                  <c:v>251.70799999999997</c:v>
                </c:pt>
                <c:pt idx="453">
                  <c:v>251.70799999999997</c:v>
                </c:pt>
                <c:pt idx="454">
                  <c:v>251.70799999999997</c:v>
                </c:pt>
                <c:pt idx="455">
                  <c:v>251.70799999999997</c:v>
                </c:pt>
                <c:pt idx="456">
                  <c:v>251.70799999999997</c:v>
                </c:pt>
                <c:pt idx="457">
                  <c:v>251.70799999999997</c:v>
                </c:pt>
                <c:pt idx="458">
                  <c:v>251.70799999999997</c:v>
                </c:pt>
                <c:pt idx="459">
                  <c:v>251.70799999999997</c:v>
                </c:pt>
                <c:pt idx="460">
                  <c:v>251.70799999999997</c:v>
                </c:pt>
                <c:pt idx="461">
                  <c:v>251.70799999999997</c:v>
                </c:pt>
                <c:pt idx="462">
                  <c:v>251.70799999999997</c:v>
                </c:pt>
                <c:pt idx="463">
                  <c:v>251.70799999999997</c:v>
                </c:pt>
                <c:pt idx="464">
                  <c:v>251.70799999999997</c:v>
                </c:pt>
                <c:pt idx="465">
                  <c:v>251.70799999999997</c:v>
                </c:pt>
                <c:pt idx="466">
                  <c:v>251.70799999999997</c:v>
                </c:pt>
                <c:pt idx="467">
                  <c:v>251.70799999999997</c:v>
                </c:pt>
                <c:pt idx="468">
                  <c:v>251.70799999999997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B-4891-88A3-2208404555A2}"/>
            </c:ext>
          </c:extLst>
        </c:ser>
        <c:ser>
          <c:idx val="2"/>
          <c:order val="2"/>
          <c:tx>
            <c:strRef>
              <c:f>'excess mortality simple'!$E$1</c:f>
              <c:strCache>
                <c:ptCount val="1"/>
                <c:pt idx="0">
                  <c:v>Excess Mortality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'excess mortality simple'!$E$2:$E$470</c:f>
              <c:numCache>
                <c:formatCode>General</c:formatCode>
                <c:ptCount val="4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2.29200000000003</c:v>
                </c:pt>
                <c:pt idx="272">
                  <c:v>79.29200000000003</c:v>
                </c:pt>
                <c:pt idx="273">
                  <c:v>230.29200000000003</c:v>
                </c:pt>
                <c:pt idx="274">
                  <c:v>263.29200000000003</c:v>
                </c:pt>
                <c:pt idx="275">
                  <c:v>121.29200000000003</c:v>
                </c:pt>
                <c:pt idx="276">
                  <c:v>57.29200000000003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64.29200000000003</c:v>
                </c:pt>
                <c:pt idx="304">
                  <c:v>74.29200000000003</c:v>
                </c:pt>
                <c:pt idx="305">
                  <c:v>42.29200000000003</c:v>
                </c:pt>
                <c:pt idx="306">
                  <c:v>24.29200000000003</c:v>
                </c:pt>
                <c:pt idx="307">
                  <c:v>10.29200000000003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B-4891-88A3-2208404555A2}"/>
            </c:ext>
          </c:extLst>
        </c:ser>
        <c:ser>
          <c:idx val="3"/>
          <c:order val="3"/>
          <c:tx>
            <c:strRef>
              <c:f>'excess mortality simple'!$B$1</c:f>
              <c:strCache>
                <c:ptCount val="1"/>
                <c:pt idx="0">
                  <c:v>N° of Deaths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'excess mortality simple'!$B$2:$B$470</c:f>
              <c:numCache>
                <c:formatCode>General</c:formatCode>
                <c:ptCount val="469"/>
                <c:pt idx="0">
                  <c:v>232</c:v>
                </c:pt>
                <c:pt idx="1">
                  <c:v>194</c:v>
                </c:pt>
                <c:pt idx="2">
                  <c:v>226</c:v>
                </c:pt>
                <c:pt idx="3">
                  <c:v>211</c:v>
                </c:pt>
                <c:pt idx="4">
                  <c:v>243</c:v>
                </c:pt>
                <c:pt idx="5">
                  <c:v>241</c:v>
                </c:pt>
                <c:pt idx="6">
                  <c:v>228</c:v>
                </c:pt>
                <c:pt idx="7">
                  <c:v>235</c:v>
                </c:pt>
                <c:pt idx="8">
                  <c:v>224</c:v>
                </c:pt>
                <c:pt idx="9">
                  <c:v>212</c:v>
                </c:pt>
                <c:pt idx="10">
                  <c:v>191</c:v>
                </c:pt>
                <c:pt idx="11">
                  <c:v>177</c:v>
                </c:pt>
                <c:pt idx="12">
                  <c:v>200</c:v>
                </c:pt>
                <c:pt idx="13">
                  <c:v>170</c:v>
                </c:pt>
                <c:pt idx="14">
                  <c:v>178</c:v>
                </c:pt>
                <c:pt idx="15">
                  <c:v>177</c:v>
                </c:pt>
                <c:pt idx="16">
                  <c:v>167</c:v>
                </c:pt>
                <c:pt idx="17">
                  <c:v>179</c:v>
                </c:pt>
                <c:pt idx="18">
                  <c:v>147</c:v>
                </c:pt>
                <c:pt idx="19">
                  <c:v>155</c:v>
                </c:pt>
                <c:pt idx="20">
                  <c:v>171</c:v>
                </c:pt>
                <c:pt idx="21">
                  <c:v>153</c:v>
                </c:pt>
                <c:pt idx="22">
                  <c:v>170</c:v>
                </c:pt>
                <c:pt idx="23">
                  <c:v>163</c:v>
                </c:pt>
                <c:pt idx="24">
                  <c:v>152</c:v>
                </c:pt>
                <c:pt idx="25">
                  <c:v>194</c:v>
                </c:pt>
                <c:pt idx="26">
                  <c:v>184</c:v>
                </c:pt>
                <c:pt idx="27">
                  <c:v>145</c:v>
                </c:pt>
                <c:pt idx="28">
                  <c:v>145</c:v>
                </c:pt>
                <c:pt idx="29">
                  <c:v>166</c:v>
                </c:pt>
                <c:pt idx="30">
                  <c:v>192</c:v>
                </c:pt>
                <c:pt idx="31">
                  <c:v>157</c:v>
                </c:pt>
                <c:pt idx="32">
                  <c:v>138</c:v>
                </c:pt>
                <c:pt idx="33">
                  <c:v>173</c:v>
                </c:pt>
                <c:pt idx="34">
                  <c:v>161</c:v>
                </c:pt>
                <c:pt idx="35">
                  <c:v>149</c:v>
                </c:pt>
                <c:pt idx="36">
                  <c:v>155</c:v>
                </c:pt>
                <c:pt idx="37">
                  <c:v>160</c:v>
                </c:pt>
                <c:pt idx="38">
                  <c:v>176</c:v>
                </c:pt>
                <c:pt idx="39">
                  <c:v>182</c:v>
                </c:pt>
                <c:pt idx="40">
                  <c:v>166</c:v>
                </c:pt>
                <c:pt idx="41">
                  <c:v>178</c:v>
                </c:pt>
                <c:pt idx="42">
                  <c:v>165</c:v>
                </c:pt>
                <c:pt idx="43">
                  <c:v>163</c:v>
                </c:pt>
                <c:pt idx="44">
                  <c:v>171</c:v>
                </c:pt>
                <c:pt idx="45">
                  <c:v>194</c:v>
                </c:pt>
                <c:pt idx="46">
                  <c:v>176</c:v>
                </c:pt>
                <c:pt idx="47">
                  <c:v>147</c:v>
                </c:pt>
                <c:pt idx="48">
                  <c:v>176</c:v>
                </c:pt>
                <c:pt idx="49">
                  <c:v>156</c:v>
                </c:pt>
                <c:pt idx="50">
                  <c:v>151</c:v>
                </c:pt>
                <c:pt idx="51">
                  <c:v>163</c:v>
                </c:pt>
                <c:pt idx="52">
                  <c:v>171</c:v>
                </c:pt>
                <c:pt idx="53">
                  <c:v>191</c:v>
                </c:pt>
                <c:pt idx="54">
                  <c:v>182</c:v>
                </c:pt>
                <c:pt idx="55">
                  <c:v>195</c:v>
                </c:pt>
                <c:pt idx="56">
                  <c:v>192</c:v>
                </c:pt>
                <c:pt idx="57">
                  <c:v>167</c:v>
                </c:pt>
                <c:pt idx="58">
                  <c:v>166</c:v>
                </c:pt>
                <c:pt idx="59">
                  <c:v>192</c:v>
                </c:pt>
                <c:pt idx="60">
                  <c:v>186</c:v>
                </c:pt>
                <c:pt idx="61">
                  <c:v>194</c:v>
                </c:pt>
                <c:pt idx="62">
                  <c:v>193</c:v>
                </c:pt>
                <c:pt idx="63">
                  <c:v>232</c:v>
                </c:pt>
                <c:pt idx="64">
                  <c:v>179</c:v>
                </c:pt>
                <c:pt idx="65">
                  <c:v>157</c:v>
                </c:pt>
                <c:pt idx="66">
                  <c:v>178</c:v>
                </c:pt>
                <c:pt idx="67">
                  <c:v>179</c:v>
                </c:pt>
                <c:pt idx="68">
                  <c:v>168</c:v>
                </c:pt>
                <c:pt idx="69">
                  <c:v>177</c:v>
                </c:pt>
                <c:pt idx="70">
                  <c:v>177</c:v>
                </c:pt>
                <c:pt idx="71">
                  <c:v>146</c:v>
                </c:pt>
                <c:pt idx="72">
                  <c:v>172</c:v>
                </c:pt>
                <c:pt idx="73">
                  <c:v>151</c:v>
                </c:pt>
                <c:pt idx="74">
                  <c:v>146</c:v>
                </c:pt>
                <c:pt idx="75">
                  <c:v>178</c:v>
                </c:pt>
                <c:pt idx="76">
                  <c:v>162</c:v>
                </c:pt>
                <c:pt idx="77">
                  <c:v>155</c:v>
                </c:pt>
                <c:pt idx="78">
                  <c:v>155</c:v>
                </c:pt>
                <c:pt idx="79">
                  <c:v>160</c:v>
                </c:pt>
                <c:pt idx="80">
                  <c:v>193</c:v>
                </c:pt>
                <c:pt idx="81">
                  <c:v>166</c:v>
                </c:pt>
                <c:pt idx="82">
                  <c:v>144</c:v>
                </c:pt>
                <c:pt idx="83">
                  <c:v>167</c:v>
                </c:pt>
                <c:pt idx="84">
                  <c:v>149</c:v>
                </c:pt>
                <c:pt idx="85">
                  <c:v>178</c:v>
                </c:pt>
                <c:pt idx="86">
                  <c:v>155</c:v>
                </c:pt>
                <c:pt idx="87">
                  <c:v>156</c:v>
                </c:pt>
                <c:pt idx="88">
                  <c:v>166</c:v>
                </c:pt>
                <c:pt idx="89">
                  <c:v>133</c:v>
                </c:pt>
                <c:pt idx="90">
                  <c:v>165</c:v>
                </c:pt>
                <c:pt idx="91">
                  <c:v>155</c:v>
                </c:pt>
                <c:pt idx="92">
                  <c:v>170</c:v>
                </c:pt>
                <c:pt idx="93">
                  <c:v>181</c:v>
                </c:pt>
                <c:pt idx="94">
                  <c:v>165</c:v>
                </c:pt>
                <c:pt idx="95">
                  <c:v>165</c:v>
                </c:pt>
                <c:pt idx="96">
                  <c:v>193</c:v>
                </c:pt>
                <c:pt idx="97">
                  <c:v>190</c:v>
                </c:pt>
                <c:pt idx="98">
                  <c:v>186</c:v>
                </c:pt>
                <c:pt idx="99">
                  <c:v>192</c:v>
                </c:pt>
                <c:pt idx="100">
                  <c:v>178</c:v>
                </c:pt>
                <c:pt idx="101">
                  <c:v>194</c:v>
                </c:pt>
                <c:pt idx="102">
                  <c:v>158</c:v>
                </c:pt>
                <c:pt idx="103">
                  <c:v>221</c:v>
                </c:pt>
                <c:pt idx="104">
                  <c:v>198</c:v>
                </c:pt>
                <c:pt idx="105">
                  <c:v>229</c:v>
                </c:pt>
                <c:pt idx="106">
                  <c:v>217</c:v>
                </c:pt>
                <c:pt idx="107">
                  <c:v>219</c:v>
                </c:pt>
                <c:pt idx="108">
                  <c:v>220</c:v>
                </c:pt>
                <c:pt idx="109">
                  <c:v>183</c:v>
                </c:pt>
                <c:pt idx="110">
                  <c:v>194</c:v>
                </c:pt>
                <c:pt idx="111">
                  <c:v>197</c:v>
                </c:pt>
                <c:pt idx="112">
                  <c:v>187</c:v>
                </c:pt>
                <c:pt idx="113">
                  <c:v>195</c:v>
                </c:pt>
                <c:pt idx="114">
                  <c:v>178</c:v>
                </c:pt>
                <c:pt idx="115">
                  <c:v>164</c:v>
                </c:pt>
                <c:pt idx="116">
                  <c:v>164</c:v>
                </c:pt>
                <c:pt idx="117">
                  <c:v>147</c:v>
                </c:pt>
                <c:pt idx="118">
                  <c:v>149</c:v>
                </c:pt>
                <c:pt idx="119">
                  <c:v>155</c:v>
                </c:pt>
                <c:pt idx="120">
                  <c:v>155</c:v>
                </c:pt>
                <c:pt idx="121">
                  <c:v>179</c:v>
                </c:pt>
                <c:pt idx="122">
                  <c:v>176</c:v>
                </c:pt>
                <c:pt idx="123">
                  <c:v>174</c:v>
                </c:pt>
                <c:pt idx="124">
                  <c:v>144</c:v>
                </c:pt>
                <c:pt idx="125">
                  <c:v>173</c:v>
                </c:pt>
                <c:pt idx="126">
                  <c:v>131</c:v>
                </c:pt>
                <c:pt idx="127">
                  <c:v>156</c:v>
                </c:pt>
                <c:pt idx="128">
                  <c:v>182</c:v>
                </c:pt>
                <c:pt idx="129">
                  <c:v>166</c:v>
                </c:pt>
                <c:pt idx="130">
                  <c:v>180</c:v>
                </c:pt>
                <c:pt idx="131">
                  <c:v>185</c:v>
                </c:pt>
                <c:pt idx="132">
                  <c:v>159</c:v>
                </c:pt>
                <c:pt idx="133">
                  <c:v>139</c:v>
                </c:pt>
                <c:pt idx="134">
                  <c:v>158</c:v>
                </c:pt>
                <c:pt idx="135">
                  <c:v>162</c:v>
                </c:pt>
                <c:pt idx="136">
                  <c:v>157</c:v>
                </c:pt>
                <c:pt idx="137">
                  <c:v>187</c:v>
                </c:pt>
                <c:pt idx="138">
                  <c:v>157</c:v>
                </c:pt>
                <c:pt idx="139">
                  <c:v>175</c:v>
                </c:pt>
                <c:pt idx="140">
                  <c:v>143</c:v>
                </c:pt>
                <c:pt idx="141">
                  <c:v>166</c:v>
                </c:pt>
                <c:pt idx="142">
                  <c:v>170</c:v>
                </c:pt>
                <c:pt idx="143">
                  <c:v>141</c:v>
                </c:pt>
                <c:pt idx="144">
                  <c:v>176</c:v>
                </c:pt>
                <c:pt idx="145">
                  <c:v>179</c:v>
                </c:pt>
                <c:pt idx="146">
                  <c:v>165</c:v>
                </c:pt>
                <c:pt idx="147">
                  <c:v>190</c:v>
                </c:pt>
                <c:pt idx="148">
                  <c:v>170</c:v>
                </c:pt>
                <c:pt idx="149">
                  <c:v>162</c:v>
                </c:pt>
                <c:pt idx="150">
                  <c:v>175</c:v>
                </c:pt>
                <c:pt idx="151">
                  <c:v>149</c:v>
                </c:pt>
                <c:pt idx="152">
                  <c:v>186</c:v>
                </c:pt>
                <c:pt idx="153">
                  <c:v>186</c:v>
                </c:pt>
                <c:pt idx="154">
                  <c:v>179</c:v>
                </c:pt>
                <c:pt idx="155">
                  <c:v>178</c:v>
                </c:pt>
                <c:pt idx="156">
                  <c:v>175</c:v>
                </c:pt>
                <c:pt idx="157">
                  <c:v>168</c:v>
                </c:pt>
                <c:pt idx="158">
                  <c:v>178</c:v>
                </c:pt>
                <c:pt idx="159">
                  <c:v>181</c:v>
                </c:pt>
                <c:pt idx="160">
                  <c:v>196</c:v>
                </c:pt>
                <c:pt idx="161">
                  <c:v>181</c:v>
                </c:pt>
                <c:pt idx="162">
                  <c:v>200</c:v>
                </c:pt>
                <c:pt idx="163">
                  <c:v>184</c:v>
                </c:pt>
                <c:pt idx="164">
                  <c:v>226</c:v>
                </c:pt>
                <c:pt idx="165">
                  <c:v>251</c:v>
                </c:pt>
                <c:pt idx="166">
                  <c:v>200</c:v>
                </c:pt>
                <c:pt idx="167">
                  <c:v>210</c:v>
                </c:pt>
                <c:pt idx="168">
                  <c:v>180</c:v>
                </c:pt>
                <c:pt idx="169">
                  <c:v>187</c:v>
                </c:pt>
                <c:pt idx="170">
                  <c:v>167</c:v>
                </c:pt>
                <c:pt idx="171">
                  <c:v>162</c:v>
                </c:pt>
                <c:pt idx="172">
                  <c:v>155</c:v>
                </c:pt>
                <c:pt idx="173">
                  <c:v>157</c:v>
                </c:pt>
                <c:pt idx="174">
                  <c:v>151</c:v>
                </c:pt>
                <c:pt idx="175">
                  <c:v>153</c:v>
                </c:pt>
                <c:pt idx="176">
                  <c:v>144</c:v>
                </c:pt>
                <c:pt idx="177">
                  <c:v>181</c:v>
                </c:pt>
                <c:pt idx="178">
                  <c:v>137</c:v>
                </c:pt>
                <c:pt idx="179">
                  <c:v>140</c:v>
                </c:pt>
                <c:pt idx="180">
                  <c:v>160</c:v>
                </c:pt>
                <c:pt idx="181">
                  <c:v>168</c:v>
                </c:pt>
                <c:pt idx="182">
                  <c:v>182</c:v>
                </c:pt>
                <c:pt idx="183">
                  <c:v>157</c:v>
                </c:pt>
                <c:pt idx="184">
                  <c:v>164</c:v>
                </c:pt>
                <c:pt idx="185">
                  <c:v>172</c:v>
                </c:pt>
                <c:pt idx="186">
                  <c:v>160</c:v>
                </c:pt>
                <c:pt idx="187">
                  <c:v>195</c:v>
                </c:pt>
                <c:pt idx="188">
                  <c:v>177</c:v>
                </c:pt>
                <c:pt idx="189">
                  <c:v>144</c:v>
                </c:pt>
                <c:pt idx="190">
                  <c:v>140</c:v>
                </c:pt>
                <c:pt idx="191">
                  <c:v>171</c:v>
                </c:pt>
                <c:pt idx="192">
                  <c:v>142</c:v>
                </c:pt>
                <c:pt idx="193">
                  <c:v>161</c:v>
                </c:pt>
                <c:pt idx="194">
                  <c:v>146</c:v>
                </c:pt>
                <c:pt idx="195">
                  <c:v>143</c:v>
                </c:pt>
                <c:pt idx="196">
                  <c:v>174</c:v>
                </c:pt>
                <c:pt idx="197">
                  <c:v>167</c:v>
                </c:pt>
                <c:pt idx="198">
                  <c:v>157</c:v>
                </c:pt>
                <c:pt idx="199">
                  <c:v>149</c:v>
                </c:pt>
                <c:pt idx="200">
                  <c:v>161</c:v>
                </c:pt>
                <c:pt idx="201">
                  <c:v>176</c:v>
                </c:pt>
                <c:pt idx="202">
                  <c:v>153</c:v>
                </c:pt>
                <c:pt idx="203">
                  <c:v>186</c:v>
                </c:pt>
                <c:pt idx="204">
                  <c:v>190</c:v>
                </c:pt>
                <c:pt idx="205">
                  <c:v>196</c:v>
                </c:pt>
                <c:pt idx="206">
                  <c:v>175</c:v>
                </c:pt>
                <c:pt idx="207">
                  <c:v>161</c:v>
                </c:pt>
                <c:pt idx="208">
                  <c:v>187</c:v>
                </c:pt>
                <c:pt idx="209">
                  <c:v>195</c:v>
                </c:pt>
                <c:pt idx="210">
                  <c:v>203</c:v>
                </c:pt>
                <c:pt idx="211">
                  <c:v>202</c:v>
                </c:pt>
                <c:pt idx="212">
                  <c:v>192</c:v>
                </c:pt>
                <c:pt idx="213">
                  <c:v>195</c:v>
                </c:pt>
                <c:pt idx="214">
                  <c:v>190</c:v>
                </c:pt>
                <c:pt idx="215">
                  <c:v>202</c:v>
                </c:pt>
                <c:pt idx="216">
                  <c:v>202</c:v>
                </c:pt>
                <c:pt idx="217">
                  <c:v>187</c:v>
                </c:pt>
                <c:pt idx="218">
                  <c:v>168</c:v>
                </c:pt>
                <c:pt idx="219">
                  <c:v>163</c:v>
                </c:pt>
                <c:pt idx="220">
                  <c:v>179</c:v>
                </c:pt>
                <c:pt idx="221">
                  <c:v>138</c:v>
                </c:pt>
                <c:pt idx="222">
                  <c:v>174</c:v>
                </c:pt>
                <c:pt idx="223">
                  <c:v>193</c:v>
                </c:pt>
                <c:pt idx="224">
                  <c:v>169</c:v>
                </c:pt>
                <c:pt idx="225">
                  <c:v>146</c:v>
                </c:pt>
                <c:pt idx="226">
                  <c:v>165</c:v>
                </c:pt>
                <c:pt idx="227">
                  <c:v>171</c:v>
                </c:pt>
                <c:pt idx="228">
                  <c:v>158</c:v>
                </c:pt>
                <c:pt idx="229">
                  <c:v>171</c:v>
                </c:pt>
                <c:pt idx="230">
                  <c:v>169</c:v>
                </c:pt>
                <c:pt idx="231">
                  <c:v>154</c:v>
                </c:pt>
                <c:pt idx="232">
                  <c:v>153</c:v>
                </c:pt>
                <c:pt idx="233">
                  <c:v>184</c:v>
                </c:pt>
                <c:pt idx="234">
                  <c:v>163</c:v>
                </c:pt>
                <c:pt idx="235">
                  <c:v>147</c:v>
                </c:pt>
                <c:pt idx="236">
                  <c:v>152</c:v>
                </c:pt>
                <c:pt idx="237">
                  <c:v>221</c:v>
                </c:pt>
                <c:pt idx="238">
                  <c:v>163</c:v>
                </c:pt>
                <c:pt idx="239">
                  <c:v>174</c:v>
                </c:pt>
                <c:pt idx="240">
                  <c:v>139</c:v>
                </c:pt>
                <c:pt idx="241">
                  <c:v>159</c:v>
                </c:pt>
                <c:pt idx="242">
                  <c:v>165</c:v>
                </c:pt>
                <c:pt idx="243">
                  <c:v>170</c:v>
                </c:pt>
                <c:pt idx="244">
                  <c:v>166</c:v>
                </c:pt>
                <c:pt idx="245">
                  <c:v>156</c:v>
                </c:pt>
                <c:pt idx="246">
                  <c:v>148</c:v>
                </c:pt>
                <c:pt idx="247">
                  <c:v>186</c:v>
                </c:pt>
                <c:pt idx="248">
                  <c:v>141</c:v>
                </c:pt>
                <c:pt idx="249">
                  <c:v>152</c:v>
                </c:pt>
                <c:pt idx="250">
                  <c:v>182</c:v>
                </c:pt>
                <c:pt idx="251">
                  <c:v>167</c:v>
                </c:pt>
                <c:pt idx="252">
                  <c:v>164</c:v>
                </c:pt>
                <c:pt idx="253">
                  <c:v>150</c:v>
                </c:pt>
                <c:pt idx="254">
                  <c:v>179</c:v>
                </c:pt>
                <c:pt idx="255">
                  <c:v>152</c:v>
                </c:pt>
                <c:pt idx="256">
                  <c:v>150</c:v>
                </c:pt>
                <c:pt idx="257">
                  <c:v>176</c:v>
                </c:pt>
                <c:pt idx="258">
                  <c:v>189</c:v>
                </c:pt>
                <c:pt idx="259">
                  <c:v>166</c:v>
                </c:pt>
                <c:pt idx="260">
                  <c:v>180</c:v>
                </c:pt>
                <c:pt idx="261">
                  <c:v>185</c:v>
                </c:pt>
                <c:pt idx="262">
                  <c:v>168</c:v>
                </c:pt>
                <c:pt idx="263">
                  <c:v>177</c:v>
                </c:pt>
                <c:pt idx="264">
                  <c:v>194</c:v>
                </c:pt>
                <c:pt idx="265">
                  <c:v>188</c:v>
                </c:pt>
                <c:pt idx="266">
                  <c:v>193</c:v>
                </c:pt>
                <c:pt idx="267">
                  <c:v>191</c:v>
                </c:pt>
                <c:pt idx="268">
                  <c:v>190</c:v>
                </c:pt>
                <c:pt idx="269">
                  <c:v>190</c:v>
                </c:pt>
                <c:pt idx="270">
                  <c:v>193</c:v>
                </c:pt>
                <c:pt idx="271">
                  <c:v>254</c:v>
                </c:pt>
                <c:pt idx="272">
                  <c:v>331</c:v>
                </c:pt>
                <c:pt idx="273">
                  <c:v>482</c:v>
                </c:pt>
                <c:pt idx="274">
                  <c:v>515</c:v>
                </c:pt>
                <c:pt idx="275">
                  <c:v>373</c:v>
                </c:pt>
                <c:pt idx="276">
                  <c:v>309</c:v>
                </c:pt>
                <c:pt idx="277">
                  <c:v>235</c:v>
                </c:pt>
                <c:pt idx="278">
                  <c:v>192</c:v>
                </c:pt>
                <c:pt idx="279">
                  <c:v>175</c:v>
                </c:pt>
                <c:pt idx="280">
                  <c:v>169</c:v>
                </c:pt>
                <c:pt idx="281">
                  <c:v>148</c:v>
                </c:pt>
                <c:pt idx="282">
                  <c:v>147</c:v>
                </c:pt>
                <c:pt idx="283">
                  <c:v>143</c:v>
                </c:pt>
                <c:pt idx="284">
                  <c:v>149</c:v>
                </c:pt>
                <c:pt idx="285">
                  <c:v>161</c:v>
                </c:pt>
                <c:pt idx="286">
                  <c:v>141</c:v>
                </c:pt>
                <c:pt idx="287">
                  <c:v>126</c:v>
                </c:pt>
                <c:pt idx="288">
                  <c:v>140</c:v>
                </c:pt>
                <c:pt idx="289">
                  <c:v>159</c:v>
                </c:pt>
                <c:pt idx="290">
                  <c:v>135</c:v>
                </c:pt>
                <c:pt idx="291">
                  <c:v>158</c:v>
                </c:pt>
                <c:pt idx="292">
                  <c:v>251</c:v>
                </c:pt>
                <c:pt idx="293">
                  <c:v>205</c:v>
                </c:pt>
                <c:pt idx="294">
                  <c:v>126</c:v>
                </c:pt>
                <c:pt idx="295">
                  <c:v>155</c:v>
                </c:pt>
                <c:pt idx="296">
                  <c:v>142</c:v>
                </c:pt>
                <c:pt idx="297">
                  <c:v>150</c:v>
                </c:pt>
                <c:pt idx="298">
                  <c:v>155</c:v>
                </c:pt>
                <c:pt idx="299">
                  <c:v>160</c:v>
                </c:pt>
                <c:pt idx="300">
                  <c:v>184</c:v>
                </c:pt>
                <c:pt idx="301">
                  <c:v>178</c:v>
                </c:pt>
                <c:pt idx="302">
                  <c:v>250</c:v>
                </c:pt>
                <c:pt idx="303">
                  <c:v>316</c:v>
                </c:pt>
                <c:pt idx="304">
                  <c:v>326</c:v>
                </c:pt>
                <c:pt idx="305">
                  <c:v>294</c:v>
                </c:pt>
                <c:pt idx="306">
                  <c:v>276</c:v>
                </c:pt>
                <c:pt idx="307">
                  <c:v>262</c:v>
                </c:pt>
                <c:pt idx="308">
                  <c:v>188</c:v>
                </c:pt>
                <c:pt idx="309">
                  <c:v>225</c:v>
                </c:pt>
                <c:pt idx="310">
                  <c:v>202</c:v>
                </c:pt>
                <c:pt idx="311">
                  <c:v>190</c:v>
                </c:pt>
                <c:pt idx="312">
                  <c:v>188</c:v>
                </c:pt>
                <c:pt idx="313">
                  <c:v>175</c:v>
                </c:pt>
                <c:pt idx="314">
                  <c:v>154</c:v>
                </c:pt>
                <c:pt idx="315">
                  <c:v>168</c:v>
                </c:pt>
                <c:pt idx="316">
                  <c:v>192</c:v>
                </c:pt>
                <c:pt idx="317">
                  <c:v>169</c:v>
                </c:pt>
                <c:pt idx="318">
                  <c:v>171</c:v>
                </c:pt>
                <c:pt idx="319">
                  <c:v>165</c:v>
                </c:pt>
                <c:pt idx="320">
                  <c:v>161</c:v>
                </c:pt>
                <c:pt idx="321">
                  <c:v>178</c:v>
                </c:pt>
                <c:pt idx="322">
                  <c:v>166</c:v>
                </c:pt>
                <c:pt idx="323">
                  <c:v>174</c:v>
                </c:pt>
                <c:pt idx="324">
                  <c:v>155</c:v>
                </c:pt>
                <c:pt idx="325">
                  <c:v>189</c:v>
                </c:pt>
                <c:pt idx="326">
                  <c:v>184</c:v>
                </c:pt>
                <c:pt idx="327">
                  <c:v>188</c:v>
                </c:pt>
                <c:pt idx="328">
                  <c:v>172</c:v>
                </c:pt>
                <c:pt idx="329">
                  <c:v>185</c:v>
                </c:pt>
                <c:pt idx="330">
                  <c:v>223</c:v>
                </c:pt>
                <c:pt idx="331">
                  <c:v>150</c:v>
                </c:pt>
                <c:pt idx="332">
                  <c:v>159</c:v>
                </c:pt>
                <c:pt idx="333">
                  <c:v>163</c:v>
                </c:pt>
                <c:pt idx="334">
                  <c:v>165</c:v>
                </c:pt>
                <c:pt idx="335">
                  <c:v>149</c:v>
                </c:pt>
                <c:pt idx="336">
                  <c:v>175</c:v>
                </c:pt>
                <c:pt idx="337">
                  <c:v>144</c:v>
                </c:pt>
                <c:pt idx="338">
                  <c:v>153</c:v>
                </c:pt>
                <c:pt idx="339">
                  <c:v>134</c:v>
                </c:pt>
                <c:pt idx="340">
                  <c:v>137</c:v>
                </c:pt>
                <c:pt idx="341">
                  <c:v>155</c:v>
                </c:pt>
                <c:pt idx="342">
                  <c:v>146</c:v>
                </c:pt>
                <c:pt idx="343">
                  <c:v>159</c:v>
                </c:pt>
                <c:pt idx="344">
                  <c:v>157</c:v>
                </c:pt>
                <c:pt idx="345">
                  <c:v>151</c:v>
                </c:pt>
                <c:pt idx="346">
                  <c:v>153</c:v>
                </c:pt>
                <c:pt idx="347">
                  <c:v>149</c:v>
                </c:pt>
                <c:pt idx="348">
                  <c:v>163</c:v>
                </c:pt>
                <c:pt idx="349">
                  <c:v>157</c:v>
                </c:pt>
                <c:pt idx="350">
                  <c:v>150</c:v>
                </c:pt>
                <c:pt idx="351">
                  <c:v>165</c:v>
                </c:pt>
                <c:pt idx="352">
                  <c:v>171</c:v>
                </c:pt>
                <c:pt idx="353">
                  <c:v>180</c:v>
                </c:pt>
                <c:pt idx="354">
                  <c:v>183</c:v>
                </c:pt>
                <c:pt idx="355">
                  <c:v>195</c:v>
                </c:pt>
                <c:pt idx="356">
                  <c:v>174</c:v>
                </c:pt>
                <c:pt idx="357">
                  <c:v>187</c:v>
                </c:pt>
                <c:pt idx="358">
                  <c:v>197</c:v>
                </c:pt>
                <c:pt idx="359">
                  <c:v>181</c:v>
                </c:pt>
                <c:pt idx="360">
                  <c:v>190</c:v>
                </c:pt>
                <c:pt idx="361">
                  <c:v>182</c:v>
                </c:pt>
                <c:pt idx="362">
                  <c:v>189</c:v>
                </c:pt>
                <c:pt idx="363">
                  <c:v>199</c:v>
                </c:pt>
                <c:pt idx="364">
                  <c:v>203</c:v>
                </c:pt>
                <c:pt idx="365">
                  <c:v>203</c:v>
                </c:pt>
                <c:pt idx="366">
                  <c:v>172</c:v>
                </c:pt>
                <c:pt idx="367">
                  <c:v>207</c:v>
                </c:pt>
                <c:pt idx="368">
                  <c:v>214</c:v>
                </c:pt>
                <c:pt idx="369">
                  <c:v>223</c:v>
                </c:pt>
                <c:pt idx="370">
                  <c:v>209</c:v>
                </c:pt>
                <c:pt idx="371">
                  <c:v>164</c:v>
                </c:pt>
                <c:pt idx="372">
                  <c:v>152</c:v>
                </c:pt>
                <c:pt idx="373">
                  <c:v>136</c:v>
                </c:pt>
                <c:pt idx="374">
                  <c:v>205</c:v>
                </c:pt>
                <c:pt idx="375">
                  <c:v>188</c:v>
                </c:pt>
                <c:pt idx="376">
                  <c:v>162</c:v>
                </c:pt>
                <c:pt idx="377">
                  <c:v>178</c:v>
                </c:pt>
                <c:pt idx="378">
                  <c:v>176</c:v>
                </c:pt>
                <c:pt idx="379">
                  <c:v>193</c:v>
                </c:pt>
                <c:pt idx="380">
                  <c:v>179</c:v>
                </c:pt>
                <c:pt idx="381">
                  <c:v>149</c:v>
                </c:pt>
                <c:pt idx="382">
                  <c:v>169</c:v>
                </c:pt>
                <c:pt idx="383">
                  <c:v>142</c:v>
                </c:pt>
                <c:pt idx="384">
                  <c:v>161</c:v>
                </c:pt>
                <c:pt idx="385">
                  <c:v>148</c:v>
                </c:pt>
                <c:pt idx="386">
                  <c:v>147</c:v>
                </c:pt>
                <c:pt idx="387">
                  <c:v>149</c:v>
                </c:pt>
                <c:pt idx="388">
                  <c:v>168</c:v>
                </c:pt>
                <c:pt idx="389">
                  <c:v>165</c:v>
                </c:pt>
                <c:pt idx="390">
                  <c:v>153</c:v>
                </c:pt>
                <c:pt idx="391">
                  <c:v>151</c:v>
                </c:pt>
                <c:pt idx="392">
                  <c:v>140</c:v>
                </c:pt>
                <c:pt idx="393">
                  <c:v>199</c:v>
                </c:pt>
                <c:pt idx="394">
                  <c:v>168</c:v>
                </c:pt>
                <c:pt idx="395">
                  <c:v>161</c:v>
                </c:pt>
                <c:pt idx="396">
                  <c:v>177</c:v>
                </c:pt>
                <c:pt idx="397">
                  <c:v>149</c:v>
                </c:pt>
                <c:pt idx="398">
                  <c:v>164</c:v>
                </c:pt>
                <c:pt idx="399">
                  <c:v>138</c:v>
                </c:pt>
                <c:pt idx="400">
                  <c:v>170</c:v>
                </c:pt>
                <c:pt idx="401">
                  <c:v>143</c:v>
                </c:pt>
                <c:pt idx="402">
                  <c:v>135</c:v>
                </c:pt>
                <c:pt idx="403">
                  <c:v>150</c:v>
                </c:pt>
                <c:pt idx="404">
                  <c:v>180</c:v>
                </c:pt>
                <c:pt idx="405">
                  <c:v>151</c:v>
                </c:pt>
                <c:pt idx="406">
                  <c:v>170</c:v>
                </c:pt>
                <c:pt idx="407">
                  <c:v>186</c:v>
                </c:pt>
                <c:pt idx="408">
                  <c:v>166</c:v>
                </c:pt>
                <c:pt idx="409">
                  <c:v>165</c:v>
                </c:pt>
                <c:pt idx="410">
                  <c:v>144</c:v>
                </c:pt>
                <c:pt idx="411">
                  <c:v>185</c:v>
                </c:pt>
                <c:pt idx="412">
                  <c:v>170</c:v>
                </c:pt>
                <c:pt idx="413">
                  <c:v>154</c:v>
                </c:pt>
                <c:pt idx="414">
                  <c:v>212</c:v>
                </c:pt>
                <c:pt idx="415">
                  <c:v>234</c:v>
                </c:pt>
                <c:pt idx="416">
                  <c:v>217</c:v>
                </c:pt>
                <c:pt idx="417">
                  <c:v>212</c:v>
                </c:pt>
                <c:pt idx="418">
                  <c:v>224</c:v>
                </c:pt>
                <c:pt idx="419">
                  <c:v>171</c:v>
                </c:pt>
                <c:pt idx="420">
                  <c:v>159</c:v>
                </c:pt>
                <c:pt idx="421">
                  <c:v>185</c:v>
                </c:pt>
                <c:pt idx="422">
                  <c:v>187</c:v>
                </c:pt>
                <c:pt idx="423">
                  <c:v>168</c:v>
                </c:pt>
                <c:pt idx="424">
                  <c:v>159</c:v>
                </c:pt>
                <c:pt idx="425">
                  <c:v>166</c:v>
                </c:pt>
                <c:pt idx="426">
                  <c:v>170</c:v>
                </c:pt>
                <c:pt idx="427">
                  <c:v>164</c:v>
                </c:pt>
                <c:pt idx="428">
                  <c:v>151</c:v>
                </c:pt>
                <c:pt idx="429">
                  <c:v>178</c:v>
                </c:pt>
                <c:pt idx="430">
                  <c:v>166</c:v>
                </c:pt>
                <c:pt idx="431">
                  <c:v>170</c:v>
                </c:pt>
                <c:pt idx="432">
                  <c:v>158</c:v>
                </c:pt>
                <c:pt idx="433">
                  <c:v>167</c:v>
                </c:pt>
                <c:pt idx="434">
                  <c:v>149</c:v>
                </c:pt>
                <c:pt idx="435">
                  <c:v>174</c:v>
                </c:pt>
                <c:pt idx="436">
                  <c:v>158</c:v>
                </c:pt>
                <c:pt idx="437">
                  <c:v>134</c:v>
                </c:pt>
                <c:pt idx="438">
                  <c:v>150</c:v>
                </c:pt>
                <c:pt idx="439">
                  <c:v>164</c:v>
                </c:pt>
                <c:pt idx="440">
                  <c:v>179</c:v>
                </c:pt>
                <c:pt idx="441">
                  <c:v>120</c:v>
                </c:pt>
                <c:pt idx="442">
                  <c:v>162</c:v>
                </c:pt>
                <c:pt idx="443">
                  <c:v>151</c:v>
                </c:pt>
                <c:pt idx="444">
                  <c:v>150</c:v>
                </c:pt>
                <c:pt idx="445">
                  <c:v>142</c:v>
                </c:pt>
                <c:pt idx="446">
                  <c:v>138</c:v>
                </c:pt>
                <c:pt idx="447">
                  <c:v>144</c:v>
                </c:pt>
                <c:pt idx="448">
                  <c:v>141</c:v>
                </c:pt>
                <c:pt idx="449">
                  <c:v>147</c:v>
                </c:pt>
                <c:pt idx="450">
                  <c:v>162</c:v>
                </c:pt>
                <c:pt idx="451">
                  <c:v>157</c:v>
                </c:pt>
                <c:pt idx="452">
                  <c:v>153</c:v>
                </c:pt>
                <c:pt idx="453">
                  <c:v>158</c:v>
                </c:pt>
                <c:pt idx="454">
                  <c:v>147</c:v>
                </c:pt>
                <c:pt idx="455">
                  <c:v>165</c:v>
                </c:pt>
                <c:pt idx="456">
                  <c:v>175</c:v>
                </c:pt>
                <c:pt idx="457">
                  <c:v>155</c:v>
                </c:pt>
                <c:pt idx="458">
                  <c:v>175</c:v>
                </c:pt>
                <c:pt idx="459">
                  <c:v>176</c:v>
                </c:pt>
                <c:pt idx="460">
                  <c:v>159</c:v>
                </c:pt>
                <c:pt idx="461">
                  <c:v>170</c:v>
                </c:pt>
                <c:pt idx="462">
                  <c:v>185</c:v>
                </c:pt>
                <c:pt idx="463">
                  <c:v>150</c:v>
                </c:pt>
                <c:pt idx="464">
                  <c:v>186</c:v>
                </c:pt>
                <c:pt idx="465">
                  <c:v>209</c:v>
                </c:pt>
                <c:pt idx="466">
                  <c:v>199</c:v>
                </c:pt>
                <c:pt idx="467">
                  <c:v>202</c:v>
                </c:pt>
                <c:pt idx="468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CB-4891-88A3-220840455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12447"/>
        <c:axId val="8143033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'excess mortality simple'!$C$1</c15:sqref>
                        </c15:formulaRef>
                      </c:ext>
                    </c:extLst>
                    <c:strCache>
                      <c:ptCount val="1"/>
                      <c:pt idx="0">
                        <c:v>Log-Mortality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'excess mortality simple'!$A$2:$A$470</c15:sqref>
                        </c15:formulaRef>
                      </c:ext>
                    </c:extLst>
                    <c:numCache>
                      <c:formatCode>m/d/yyyy</c:formatCode>
                      <c:ptCount val="469"/>
                      <c:pt idx="0">
                        <c:v>42009</c:v>
                      </c:pt>
                      <c:pt idx="1">
                        <c:v>42016</c:v>
                      </c:pt>
                      <c:pt idx="2">
                        <c:v>42023</c:v>
                      </c:pt>
                      <c:pt idx="3">
                        <c:v>42030</c:v>
                      </c:pt>
                      <c:pt idx="4">
                        <c:v>42037</c:v>
                      </c:pt>
                      <c:pt idx="5">
                        <c:v>42044</c:v>
                      </c:pt>
                      <c:pt idx="6">
                        <c:v>42051</c:v>
                      </c:pt>
                      <c:pt idx="7">
                        <c:v>42058</c:v>
                      </c:pt>
                      <c:pt idx="8">
                        <c:v>42065</c:v>
                      </c:pt>
                      <c:pt idx="9">
                        <c:v>42072</c:v>
                      </c:pt>
                      <c:pt idx="10">
                        <c:v>42079</c:v>
                      </c:pt>
                      <c:pt idx="11">
                        <c:v>42086</c:v>
                      </c:pt>
                      <c:pt idx="12">
                        <c:v>42093</c:v>
                      </c:pt>
                      <c:pt idx="13">
                        <c:v>42100</c:v>
                      </c:pt>
                      <c:pt idx="14">
                        <c:v>42107</c:v>
                      </c:pt>
                      <c:pt idx="15">
                        <c:v>42114</c:v>
                      </c:pt>
                      <c:pt idx="16">
                        <c:v>42121</c:v>
                      </c:pt>
                      <c:pt idx="17">
                        <c:v>42128</c:v>
                      </c:pt>
                      <c:pt idx="18">
                        <c:v>42135</c:v>
                      </c:pt>
                      <c:pt idx="19">
                        <c:v>42142</c:v>
                      </c:pt>
                      <c:pt idx="20">
                        <c:v>42149</c:v>
                      </c:pt>
                      <c:pt idx="21">
                        <c:v>42156</c:v>
                      </c:pt>
                      <c:pt idx="22">
                        <c:v>42163</c:v>
                      </c:pt>
                      <c:pt idx="23">
                        <c:v>42170</c:v>
                      </c:pt>
                      <c:pt idx="24">
                        <c:v>42177</c:v>
                      </c:pt>
                      <c:pt idx="25">
                        <c:v>42184</c:v>
                      </c:pt>
                      <c:pt idx="26">
                        <c:v>42191</c:v>
                      </c:pt>
                      <c:pt idx="27">
                        <c:v>42198</c:v>
                      </c:pt>
                      <c:pt idx="28">
                        <c:v>42205</c:v>
                      </c:pt>
                      <c:pt idx="29">
                        <c:v>42212</c:v>
                      </c:pt>
                      <c:pt idx="30">
                        <c:v>42219</c:v>
                      </c:pt>
                      <c:pt idx="31">
                        <c:v>42226</c:v>
                      </c:pt>
                      <c:pt idx="32">
                        <c:v>42233</c:v>
                      </c:pt>
                      <c:pt idx="33">
                        <c:v>42240</c:v>
                      </c:pt>
                      <c:pt idx="34">
                        <c:v>42247</c:v>
                      </c:pt>
                      <c:pt idx="35">
                        <c:v>42254</c:v>
                      </c:pt>
                      <c:pt idx="36">
                        <c:v>42261</c:v>
                      </c:pt>
                      <c:pt idx="37">
                        <c:v>42268</c:v>
                      </c:pt>
                      <c:pt idx="38">
                        <c:v>42275</c:v>
                      </c:pt>
                      <c:pt idx="39">
                        <c:v>42282</c:v>
                      </c:pt>
                      <c:pt idx="40">
                        <c:v>42289</c:v>
                      </c:pt>
                      <c:pt idx="41">
                        <c:v>42296</c:v>
                      </c:pt>
                      <c:pt idx="42">
                        <c:v>42303</c:v>
                      </c:pt>
                      <c:pt idx="43">
                        <c:v>42310</c:v>
                      </c:pt>
                      <c:pt idx="44">
                        <c:v>42317</c:v>
                      </c:pt>
                      <c:pt idx="45">
                        <c:v>42324</c:v>
                      </c:pt>
                      <c:pt idx="46">
                        <c:v>42331</c:v>
                      </c:pt>
                      <c:pt idx="47">
                        <c:v>42338</c:v>
                      </c:pt>
                      <c:pt idx="48">
                        <c:v>42345</c:v>
                      </c:pt>
                      <c:pt idx="49">
                        <c:v>42352</c:v>
                      </c:pt>
                      <c:pt idx="50">
                        <c:v>42359</c:v>
                      </c:pt>
                      <c:pt idx="51">
                        <c:v>42366</c:v>
                      </c:pt>
                      <c:pt idx="52">
                        <c:v>42373</c:v>
                      </c:pt>
                      <c:pt idx="53">
                        <c:v>42380</c:v>
                      </c:pt>
                      <c:pt idx="54">
                        <c:v>42387</c:v>
                      </c:pt>
                      <c:pt idx="55">
                        <c:v>42394</c:v>
                      </c:pt>
                      <c:pt idx="56">
                        <c:v>42401</c:v>
                      </c:pt>
                      <c:pt idx="57">
                        <c:v>42408</c:v>
                      </c:pt>
                      <c:pt idx="58">
                        <c:v>42415</c:v>
                      </c:pt>
                      <c:pt idx="59">
                        <c:v>42422</c:v>
                      </c:pt>
                      <c:pt idx="60">
                        <c:v>42429</c:v>
                      </c:pt>
                      <c:pt idx="61">
                        <c:v>42436</c:v>
                      </c:pt>
                      <c:pt idx="62">
                        <c:v>42443</c:v>
                      </c:pt>
                      <c:pt idx="63">
                        <c:v>42450</c:v>
                      </c:pt>
                      <c:pt idx="64">
                        <c:v>42457</c:v>
                      </c:pt>
                      <c:pt idx="65">
                        <c:v>42464</c:v>
                      </c:pt>
                      <c:pt idx="66">
                        <c:v>42471</c:v>
                      </c:pt>
                      <c:pt idx="67">
                        <c:v>42478</c:v>
                      </c:pt>
                      <c:pt idx="68">
                        <c:v>42485</c:v>
                      </c:pt>
                      <c:pt idx="69">
                        <c:v>42492</c:v>
                      </c:pt>
                      <c:pt idx="70">
                        <c:v>42499</c:v>
                      </c:pt>
                      <c:pt idx="71">
                        <c:v>42506</c:v>
                      </c:pt>
                      <c:pt idx="72">
                        <c:v>42513</c:v>
                      </c:pt>
                      <c:pt idx="73">
                        <c:v>42520</c:v>
                      </c:pt>
                      <c:pt idx="74">
                        <c:v>42527</c:v>
                      </c:pt>
                      <c:pt idx="75">
                        <c:v>42534</c:v>
                      </c:pt>
                      <c:pt idx="76">
                        <c:v>42541</c:v>
                      </c:pt>
                      <c:pt idx="77">
                        <c:v>42548</c:v>
                      </c:pt>
                      <c:pt idx="78">
                        <c:v>42555</c:v>
                      </c:pt>
                      <c:pt idx="79">
                        <c:v>42562</c:v>
                      </c:pt>
                      <c:pt idx="80">
                        <c:v>42569</c:v>
                      </c:pt>
                      <c:pt idx="81">
                        <c:v>42576</c:v>
                      </c:pt>
                      <c:pt idx="82">
                        <c:v>42583</c:v>
                      </c:pt>
                      <c:pt idx="83">
                        <c:v>42590</c:v>
                      </c:pt>
                      <c:pt idx="84">
                        <c:v>42597</c:v>
                      </c:pt>
                      <c:pt idx="85">
                        <c:v>42604</c:v>
                      </c:pt>
                      <c:pt idx="86">
                        <c:v>42611</c:v>
                      </c:pt>
                      <c:pt idx="87">
                        <c:v>42618</c:v>
                      </c:pt>
                      <c:pt idx="88">
                        <c:v>42625</c:v>
                      </c:pt>
                      <c:pt idx="89">
                        <c:v>42632</c:v>
                      </c:pt>
                      <c:pt idx="90">
                        <c:v>42639</c:v>
                      </c:pt>
                      <c:pt idx="91">
                        <c:v>42646</c:v>
                      </c:pt>
                      <c:pt idx="92">
                        <c:v>42653</c:v>
                      </c:pt>
                      <c:pt idx="93">
                        <c:v>42660</c:v>
                      </c:pt>
                      <c:pt idx="94">
                        <c:v>42667</c:v>
                      </c:pt>
                      <c:pt idx="95">
                        <c:v>42674</c:v>
                      </c:pt>
                      <c:pt idx="96">
                        <c:v>42681</c:v>
                      </c:pt>
                      <c:pt idx="97">
                        <c:v>42688</c:v>
                      </c:pt>
                      <c:pt idx="98">
                        <c:v>42695</c:v>
                      </c:pt>
                      <c:pt idx="99">
                        <c:v>42702</c:v>
                      </c:pt>
                      <c:pt idx="100">
                        <c:v>42709</c:v>
                      </c:pt>
                      <c:pt idx="101">
                        <c:v>42716</c:v>
                      </c:pt>
                      <c:pt idx="102">
                        <c:v>42723</c:v>
                      </c:pt>
                      <c:pt idx="103">
                        <c:v>42730</c:v>
                      </c:pt>
                      <c:pt idx="104">
                        <c:v>42737</c:v>
                      </c:pt>
                      <c:pt idx="105">
                        <c:v>42744</c:v>
                      </c:pt>
                      <c:pt idx="106">
                        <c:v>42751</c:v>
                      </c:pt>
                      <c:pt idx="107">
                        <c:v>42758</c:v>
                      </c:pt>
                      <c:pt idx="108">
                        <c:v>42765</c:v>
                      </c:pt>
                      <c:pt idx="109">
                        <c:v>42772</c:v>
                      </c:pt>
                      <c:pt idx="110">
                        <c:v>42779</c:v>
                      </c:pt>
                      <c:pt idx="111">
                        <c:v>42786</c:v>
                      </c:pt>
                      <c:pt idx="112">
                        <c:v>42793</c:v>
                      </c:pt>
                      <c:pt idx="113">
                        <c:v>42800</c:v>
                      </c:pt>
                      <c:pt idx="114">
                        <c:v>42807</c:v>
                      </c:pt>
                      <c:pt idx="115">
                        <c:v>42814</c:v>
                      </c:pt>
                      <c:pt idx="116">
                        <c:v>42821</c:v>
                      </c:pt>
                      <c:pt idx="117">
                        <c:v>42828</c:v>
                      </c:pt>
                      <c:pt idx="118">
                        <c:v>42835</c:v>
                      </c:pt>
                      <c:pt idx="119">
                        <c:v>42842</c:v>
                      </c:pt>
                      <c:pt idx="120">
                        <c:v>42849</c:v>
                      </c:pt>
                      <c:pt idx="121">
                        <c:v>42856</c:v>
                      </c:pt>
                      <c:pt idx="122">
                        <c:v>42863</c:v>
                      </c:pt>
                      <c:pt idx="123">
                        <c:v>42870</c:v>
                      </c:pt>
                      <c:pt idx="124">
                        <c:v>42877</c:v>
                      </c:pt>
                      <c:pt idx="125">
                        <c:v>42884</c:v>
                      </c:pt>
                      <c:pt idx="126">
                        <c:v>42891</c:v>
                      </c:pt>
                      <c:pt idx="127">
                        <c:v>42898</c:v>
                      </c:pt>
                      <c:pt idx="128">
                        <c:v>42905</c:v>
                      </c:pt>
                      <c:pt idx="129">
                        <c:v>42912</c:v>
                      </c:pt>
                      <c:pt idx="130">
                        <c:v>42919</c:v>
                      </c:pt>
                      <c:pt idx="131">
                        <c:v>42926</c:v>
                      </c:pt>
                      <c:pt idx="132">
                        <c:v>42933</c:v>
                      </c:pt>
                      <c:pt idx="133">
                        <c:v>42940</c:v>
                      </c:pt>
                      <c:pt idx="134">
                        <c:v>42947</c:v>
                      </c:pt>
                      <c:pt idx="135">
                        <c:v>42954</c:v>
                      </c:pt>
                      <c:pt idx="136">
                        <c:v>42961</c:v>
                      </c:pt>
                      <c:pt idx="137">
                        <c:v>42968</c:v>
                      </c:pt>
                      <c:pt idx="138">
                        <c:v>42975</c:v>
                      </c:pt>
                      <c:pt idx="139">
                        <c:v>42982</c:v>
                      </c:pt>
                      <c:pt idx="140">
                        <c:v>42989</c:v>
                      </c:pt>
                      <c:pt idx="141">
                        <c:v>42996</c:v>
                      </c:pt>
                      <c:pt idx="142">
                        <c:v>43003</c:v>
                      </c:pt>
                      <c:pt idx="143">
                        <c:v>43010</c:v>
                      </c:pt>
                      <c:pt idx="144">
                        <c:v>43017</c:v>
                      </c:pt>
                      <c:pt idx="145">
                        <c:v>43024</c:v>
                      </c:pt>
                      <c:pt idx="146">
                        <c:v>43031</c:v>
                      </c:pt>
                      <c:pt idx="147">
                        <c:v>43038</c:v>
                      </c:pt>
                      <c:pt idx="148">
                        <c:v>43045</c:v>
                      </c:pt>
                      <c:pt idx="149">
                        <c:v>43052</c:v>
                      </c:pt>
                      <c:pt idx="150">
                        <c:v>43059</c:v>
                      </c:pt>
                      <c:pt idx="151">
                        <c:v>43066</c:v>
                      </c:pt>
                      <c:pt idx="152">
                        <c:v>43073</c:v>
                      </c:pt>
                      <c:pt idx="153">
                        <c:v>43080</c:v>
                      </c:pt>
                      <c:pt idx="154">
                        <c:v>43087</c:v>
                      </c:pt>
                      <c:pt idx="155">
                        <c:v>43094</c:v>
                      </c:pt>
                      <c:pt idx="156">
                        <c:v>43101</c:v>
                      </c:pt>
                      <c:pt idx="157">
                        <c:v>43108</c:v>
                      </c:pt>
                      <c:pt idx="158">
                        <c:v>43115</c:v>
                      </c:pt>
                      <c:pt idx="159">
                        <c:v>43122</c:v>
                      </c:pt>
                      <c:pt idx="160">
                        <c:v>43129</c:v>
                      </c:pt>
                      <c:pt idx="161">
                        <c:v>43136</c:v>
                      </c:pt>
                      <c:pt idx="162">
                        <c:v>43143</c:v>
                      </c:pt>
                      <c:pt idx="163">
                        <c:v>43150</c:v>
                      </c:pt>
                      <c:pt idx="164">
                        <c:v>43157</c:v>
                      </c:pt>
                      <c:pt idx="165">
                        <c:v>43164</c:v>
                      </c:pt>
                      <c:pt idx="166">
                        <c:v>43171</c:v>
                      </c:pt>
                      <c:pt idx="167">
                        <c:v>43178</c:v>
                      </c:pt>
                      <c:pt idx="168">
                        <c:v>43185</c:v>
                      </c:pt>
                      <c:pt idx="169">
                        <c:v>43192</c:v>
                      </c:pt>
                      <c:pt idx="170">
                        <c:v>43199</c:v>
                      </c:pt>
                      <c:pt idx="171">
                        <c:v>43206</c:v>
                      </c:pt>
                      <c:pt idx="172">
                        <c:v>43213</c:v>
                      </c:pt>
                      <c:pt idx="173">
                        <c:v>43220</c:v>
                      </c:pt>
                      <c:pt idx="174">
                        <c:v>43227</c:v>
                      </c:pt>
                      <c:pt idx="175">
                        <c:v>43234</c:v>
                      </c:pt>
                      <c:pt idx="176">
                        <c:v>43241</c:v>
                      </c:pt>
                      <c:pt idx="177">
                        <c:v>43248</c:v>
                      </c:pt>
                      <c:pt idx="178">
                        <c:v>43255</c:v>
                      </c:pt>
                      <c:pt idx="179">
                        <c:v>43262</c:v>
                      </c:pt>
                      <c:pt idx="180">
                        <c:v>43269</c:v>
                      </c:pt>
                      <c:pt idx="181">
                        <c:v>43276</c:v>
                      </c:pt>
                      <c:pt idx="182">
                        <c:v>43283</c:v>
                      </c:pt>
                      <c:pt idx="183">
                        <c:v>43290</c:v>
                      </c:pt>
                      <c:pt idx="184">
                        <c:v>43297</c:v>
                      </c:pt>
                      <c:pt idx="185">
                        <c:v>43304</c:v>
                      </c:pt>
                      <c:pt idx="186">
                        <c:v>43311</c:v>
                      </c:pt>
                      <c:pt idx="187">
                        <c:v>43318</c:v>
                      </c:pt>
                      <c:pt idx="188">
                        <c:v>43325</c:v>
                      </c:pt>
                      <c:pt idx="189">
                        <c:v>43332</c:v>
                      </c:pt>
                      <c:pt idx="190">
                        <c:v>43339</c:v>
                      </c:pt>
                      <c:pt idx="191">
                        <c:v>43346</c:v>
                      </c:pt>
                      <c:pt idx="192">
                        <c:v>43353</c:v>
                      </c:pt>
                      <c:pt idx="193">
                        <c:v>43360</c:v>
                      </c:pt>
                      <c:pt idx="194">
                        <c:v>43367</c:v>
                      </c:pt>
                      <c:pt idx="195">
                        <c:v>43374</c:v>
                      </c:pt>
                      <c:pt idx="196">
                        <c:v>43381</c:v>
                      </c:pt>
                      <c:pt idx="197">
                        <c:v>43388</c:v>
                      </c:pt>
                      <c:pt idx="198">
                        <c:v>43395</c:v>
                      </c:pt>
                      <c:pt idx="199">
                        <c:v>43402</c:v>
                      </c:pt>
                      <c:pt idx="200">
                        <c:v>43409</c:v>
                      </c:pt>
                      <c:pt idx="201">
                        <c:v>43416</c:v>
                      </c:pt>
                      <c:pt idx="202">
                        <c:v>43423</c:v>
                      </c:pt>
                      <c:pt idx="203">
                        <c:v>43430</c:v>
                      </c:pt>
                      <c:pt idx="204">
                        <c:v>43437</c:v>
                      </c:pt>
                      <c:pt idx="205">
                        <c:v>43444</c:v>
                      </c:pt>
                      <c:pt idx="206">
                        <c:v>43451</c:v>
                      </c:pt>
                      <c:pt idx="207">
                        <c:v>43458</c:v>
                      </c:pt>
                      <c:pt idx="208">
                        <c:v>43465</c:v>
                      </c:pt>
                      <c:pt idx="209">
                        <c:v>43472</c:v>
                      </c:pt>
                      <c:pt idx="210">
                        <c:v>43479</c:v>
                      </c:pt>
                      <c:pt idx="211">
                        <c:v>43486</c:v>
                      </c:pt>
                      <c:pt idx="212">
                        <c:v>43493</c:v>
                      </c:pt>
                      <c:pt idx="213">
                        <c:v>43500</c:v>
                      </c:pt>
                      <c:pt idx="214">
                        <c:v>43507</c:v>
                      </c:pt>
                      <c:pt idx="215">
                        <c:v>43514</c:v>
                      </c:pt>
                      <c:pt idx="216">
                        <c:v>43521</c:v>
                      </c:pt>
                      <c:pt idx="217">
                        <c:v>43528</c:v>
                      </c:pt>
                      <c:pt idx="218">
                        <c:v>43535</c:v>
                      </c:pt>
                      <c:pt idx="219">
                        <c:v>43542</c:v>
                      </c:pt>
                      <c:pt idx="220">
                        <c:v>43549</c:v>
                      </c:pt>
                      <c:pt idx="221">
                        <c:v>43556</c:v>
                      </c:pt>
                      <c:pt idx="222">
                        <c:v>43563</c:v>
                      </c:pt>
                      <c:pt idx="223">
                        <c:v>43570</c:v>
                      </c:pt>
                      <c:pt idx="224">
                        <c:v>43577</c:v>
                      </c:pt>
                      <c:pt idx="225">
                        <c:v>43584</c:v>
                      </c:pt>
                      <c:pt idx="226">
                        <c:v>43591</c:v>
                      </c:pt>
                      <c:pt idx="227">
                        <c:v>43598</c:v>
                      </c:pt>
                      <c:pt idx="228">
                        <c:v>43605</c:v>
                      </c:pt>
                      <c:pt idx="229">
                        <c:v>43612</c:v>
                      </c:pt>
                      <c:pt idx="230">
                        <c:v>43619</c:v>
                      </c:pt>
                      <c:pt idx="231">
                        <c:v>43626</c:v>
                      </c:pt>
                      <c:pt idx="232">
                        <c:v>43633</c:v>
                      </c:pt>
                      <c:pt idx="233">
                        <c:v>43640</c:v>
                      </c:pt>
                      <c:pt idx="234">
                        <c:v>43647</c:v>
                      </c:pt>
                      <c:pt idx="235">
                        <c:v>43654</c:v>
                      </c:pt>
                      <c:pt idx="236">
                        <c:v>43661</c:v>
                      </c:pt>
                      <c:pt idx="237">
                        <c:v>43668</c:v>
                      </c:pt>
                      <c:pt idx="238">
                        <c:v>43675</c:v>
                      </c:pt>
                      <c:pt idx="239">
                        <c:v>43682</c:v>
                      </c:pt>
                      <c:pt idx="240">
                        <c:v>43689</c:v>
                      </c:pt>
                      <c:pt idx="241">
                        <c:v>43696</c:v>
                      </c:pt>
                      <c:pt idx="242">
                        <c:v>43703</c:v>
                      </c:pt>
                      <c:pt idx="243">
                        <c:v>43710</c:v>
                      </c:pt>
                      <c:pt idx="244">
                        <c:v>43717</c:v>
                      </c:pt>
                      <c:pt idx="245">
                        <c:v>43724</c:v>
                      </c:pt>
                      <c:pt idx="246">
                        <c:v>43731</c:v>
                      </c:pt>
                      <c:pt idx="247">
                        <c:v>43738</c:v>
                      </c:pt>
                      <c:pt idx="248">
                        <c:v>43745</c:v>
                      </c:pt>
                      <c:pt idx="249">
                        <c:v>43752</c:v>
                      </c:pt>
                      <c:pt idx="250">
                        <c:v>43759</c:v>
                      </c:pt>
                      <c:pt idx="251">
                        <c:v>43766</c:v>
                      </c:pt>
                      <c:pt idx="252">
                        <c:v>43773</c:v>
                      </c:pt>
                      <c:pt idx="253">
                        <c:v>43780</c:v>
                      </c:pt>
                      <c:pt idx="254">
                        <c:v>43787</c:v>
                      </c:pt>
                      <c:pt idx="255">
                        <c:v>43794</c:v>
                      </c:pt>
                      <c:pt idx="256">
                        <c:v>43801</c:v>
                      </c:pt>
                      <c:pt idx="257">
                        <c:v>43808</c:v>
                      </c:pt>
                      <c:pt idx="258">
                        <c:v>43815</c:v>
                      </c:pt>
                      <c:pt idx="259">
                        <c:v>43822</c:v>
                      </c:pt>
                      <c:pt idx="260">
                        <c:v>43829</c:v>
                      </c:pt>
                      <c:pt idx="261">
                        <c:v>43836</c:v>
                      </c:pt>
                      <c:pt idx="262">
                        <c:v>43843</c:v>
                      </c:pt>
                      <c:pt idx="263">
                        <c:v>43850</c:v>
                      </c:pt>
                      <c:pt idx="264">
                        <c:v>43857</c:v>
                      </c:pt>
                      <c:pt idx="265">
                        <c:v>43864</c:v>
                      </c:pt>
                      <c:pt idx="266">
                        <c:v>43871</c:v>
                      </c:pt>
                      <c:pt idx="267">
                        <c:v>43878</c:v>
                      </c:pt>
                      <c:pt idx="268">
                        <c:v>43885</c:v>
                      </c:pt>
                      <c:pt idx="269">
                        <c:v>43892</c:v>
                      </c:pt>
                      <c:pt idx="270">
                        <c:v>43899</c:v>
                      </c:pt>
                      <c:pt idx="271">
                        <c:v>43906</c:v>
                      </c:pt>
                      <c:pt idx="272">
                        <c:v>43913</c:v>
                      </c:pt>
                      <c:pt idx="273">
                        <c:v>43920</c:v>
                      </c:pt>
                      <c:pt idx="274">
                        <c:v>43927</c:v>
                      </c:pt>
                      <c:pt idx="275">
                        <c:v>43934</c:v>
                      </c:pt>
                      <c:pt idx="276">
                        <c:v>43941</c:v>
                      </c:pt>
                      <c:pt idx="277">
                        <c:v>43948</c:v>
                      </c:pt>
                      <c:pt idx="278">
                        <c:v>43955</c:v>
                      </c:pt>
                      <c:pt idx="279">
                        <c:v>43962</c:v>
                      </c:pt>
                      <c:pt idx="280">
                        <c:v>43969</c:v>
                      </c:pt>
                      <c:pt idx="281">
                        <c:v>43976</c:v>
                      </c:pt>
                      <c:pt idx="282">
                        <c:v>43983</c:v>
                      </c:pt>
                      <c:pt idx="283">
                        <c:v>43990</c:v>
                      </c:pt>
                      <c:pt idx="284">
                        <c:v>43997</c:v>
                      </c:pt>
                      <c:pt idx="285">
                        <c:v>44004</c:v>
                      </c:pt>
                      <c:pt idx="286">
                        <c:v>44011</c:v>
                      </c:pt>
                      <c:pt idx="287">
                        <c:v>44018</c:v>
                      </c:pt>
                      <c:pt idx="288">
                        <c:v>44025</c:v>
                      </c:pt>
                      <c:pt idx="289">
                        <c:v>44032</c:v>
                      </c:pt>
                      <c:pt idx="290">
                        <c:v>44039</c:v>
                      </c:pt>
                      <c:pt idx="291">
                        <c:v>44046</c:v>
                      </c:pt>
                      <c:pt idx="292">
                        <c:v>44053</c:v>
                      </c:pt>
                      <c:pt idx="293">
                        <c:v>44060</c:v>
                      </c:pt>
                      <c:pt idx="294">
                        <c:v>44067</c:v>
                      </c:pt>
                      <c:pt idx="295">
                        <c:v>44074</c:v>
                      </c:pt>
                      <c:pt idx="296">
                        <c:v>44081</c:v>
                      </c:pt>
                      <c:pt idx="297">
                        <c:v>44088</c:v>
                      </c:pt>
                      <c:pt idx="298">
                        <c:v>44095</c:v>
                      </c:pt>
                      <c:pt idx="299">
                        <c:v>44102</c:v>
                      </c:pt>
                      <c:pt idx="300">
                        <c:v>44109</c:v>
                      </c:pt>
                      <c:pt idx="301">
                        <c:v>44116</c:v>
                      </c:pt>
                      <c:pt idx="302">
                        <c:v>44123</c:v>
                      </c:pt>
                      <c:pt idx="303">
                        <c:v>44130</c:v>
                      </c:pt>
                      <c:pt idx="304">
                        <c:v>44137</c:v>
                      </c:pt>
                      <c:pt idx="305">
                        <c:v>44144</c:v>
                      </c:pt>
                      <c:pt idx="306">
                        <c:v>44151</c:v>
                      </c:pt>
                      <c:pt idx="307">
                        <c:v>44158</c:v>
                      </c:pt>
                      <c:pt idx="308">
                        <c:v>44165</c:v>
                      </c:pt>
                      <c:pt idx="309">
                        <c:v>44172</c:v>
                      </c:pt>
                      <c:pt idx="310">
                        <c:v>44179</c:v>
                      </c:pt>
                      <c:pt idx="311">
                        <c:v>44186</c:v>
                      </c:pt>
                      <c:pt idx="312">
                        <c:v>44193</c:v>
                      </c:pt>
                      <c:pt idx="313">
                        <c:v>44200</c:v>
                      </c:pt>
                      <c:pt idx="314">
                        <c:v>44207</c:v>
                      </c:pt>
                      <c:pt idx="315">
                        <c:v>44214</c:v>
                      </c:pt>
                      <c:pt idx="316">
                        <c:v>44221</c:v>
                      </c:pt>
                      <c:pt idx="317">
                        <c:v>44228</c:v>
                      </c:pt>
                      <c:pt idx="318">
                        <c:v>44235</c:v>
                      </c:pt>
                      <c:pt idx="319">
                        <c:v>44242</c:v>
                      </c:pt>
                      <c:pt idx="320">
                        <c:v>44249</c:v>
                      </c:pt>
                      <c:pt idx="321">
                        <c:v>44256</c:v>
                      </c:pt>
                      <c:pt idx="322">
                        <c:v>44263</c:v>
                      </c:pt>
                      <c:pt idx="323">
                        <c:v>44270</c:v>
                      </c:pt>
                      <c:pt idx="324">
                        <c:v>44277</c:v>
                      </c:pt>
                      <c:pt idx="325">
                        <c:v>44284</c:v>
                      </c:pt>
                      <c:pt idx="326">
                        <c:v>44291</c:v>
                      </c:pt>
                      <c:pt idx="327">
                        <c:v>44298</c:v>
                      </c:pt>
                      <c:pt idx="328">
                        <c:v>44305</c:v>
                      </c:pt>
                      <c:pt idx="329">
                        <c:v>44312</c:v>
                      </c:pt>
                      <c:pt idx="330">
                        <c:v>44319</c:v>
                      </c:pt>
                      <c:pt idx="331">
                        <c:v>44326</c:v>
                      </c:pt>
                      <c:pt idx="332">
                        <c:v>44333</c:v>
                      </c:pt>
                      <c:pt idx="333">
                        <c:v>44340</c:v>
                      </c:pt>
                      <c:pt idx="334">
                        <c:v>44347</c:v>
                      </c:pt>
                      <c:pt idx="335">
                        <c:v>44354</c:v>
                      </c:pt>
                      <c:pt idx="336">
                        <c:v>44361</c:v>
                      </c:pt>
                      <c:pt idx="337">
                        <c:v>44368</c:v>
                      </c:pt>
                      <c:pt idx="338">
                        <c:v>44375</c:v>
                      </c:pt>
                      <c:pt idx="339">
                        <c:v>44382</c:v>
                      </c:pt>
                      <c:pt idx="340">
                        <c:v>44389</c:v>
                      </c:pt>
                      <c:pt idx="341">
                        <c:v>44396</c:v>
                      </c:pt>
                      <c:pt idx="342">
                        <c:v>44403</c:v>
                      </c:pt>
                      <c:pt idx="343">
                        <c:v>44410</c:v>
                      </c:pt>
                      <c:pt idx="344">
                        <c:v>44417</c:v>
                      </c:pt>
                      <c:pt idx="345">
                        <c:v>44424</c:v>
                      </c:pt>
                      <c:pt idx="346">
                        <c:v>44431</c:v>
                      </c:pt>
                      <c:pt idx="347">
                        <c:v>44438</c:v>
                      </c:pt>
                      <c:pt idx="348">
                        <c:v>44445</c:v>
                      </c:pt>
                      <c:pt idx="349">
                        <c:v>44452</c:v>
                      </c:pt>
                      <c:pt idx="350">
                        <c:v>44459</c:v>
                      </c:pt>
                      <c:pt idx="351">
                        <c:v>44466</c:v>
                      </c:pt>
                      <c:pt idx="352">
                        <c:v>44473</c:v>
                      </c:pt>
                      <c:pt idx="353">
                        <c:v>44480</c:v>
                      </c:pt>
                      <c:pt idx="354">
                        <c:v>44487</c:v>
                      </c:pt>
                      <c:pt idx="355">
                        <c:v>44494</c:v>
                      </c:pt>
                      <c:pt idx="356">
                        <c:v>44501</c:v>
                      </c:pt>
                      <c:pt idx="357">
                        <c:v>44508</c:v>
                      </c:pt>
                      <c:pt idx="358">
                        <c:v>44515</c:v>
                      </c:pt>
                      <c:pt idx="359">
                        <c:v>44522</c:v>
                      </c:pt>
                      <c:pt idx="360">
                        <c:v>44529</c:v>
                      </c:pt>
                      <c:pt idx="361">
                        <c:v>44536</c:v>
                      </c:pt>
                      <c:pt idx="362">
                        <c:v>44543</c:v>
                      </c:pt>
                      <c:pt idx="363">
                        <c:v>44550</c:v>
                      </c:pt>
                      <c:pt idx="364">
                        <c:v>44557</c:v>
                      </c:pt>
                      <c:pt idx="365">
                        <c:v>44564</c:v>
                      </c:pt>
                      <c:pt idx="366">
                        <c:v>44571</c:v>
                      </c:pt>
                      <c:pt idx="367">
                        <c:v>44578</c:v>
                      </c:pt>
                      <c:pt idx="368">
                        <c:v>44585</c:v>
                      </c:pt>
                      <c:pt idx="369">
                        <c:v>44592</c:v>
                      </c:pt>
                      <c:pt idx="370">
                        <c:v>44599</c:v>
                      </c:pt>
                      <c:pt idx="371">
                        <c:v>44606</c:v>
                      </c:pt>
                      <c:pt idx="372">
                        <c:v>44613</c:v>
                      </c:pt>
                      <c:pt idx="373">
                        <c:v>44620</c:v>
                      </c:pt>
                      <c:pt idx="374">
                        <c:v>44627</c:v>
                      </c:pt>
                      <c:pt idx="375">
                        <c:v>44634</c:v>
                      </c:pt>
                      <c:pt idx="376">
                        <c:v>44641</c:v>
                      </c:pt>
                      <c:pt idx="377">
                        <c:v>44648</c:v>
                      </c:pt>
                      <c:pt idx="378">
                        <c:v>44655</c:v>
                      </c:pt>
                      <c:pt idx="379">
                        <c:v>44662</c:v>
                      </c:pt>
                      <c:pt idx="380">
                        <c:v>44669</c:v>
                      </c:pt>
                      <c:pt idx="381">
                        <c:v>44676</c:v>
                      </c:pt>
                      <c:pt idx="382">
                        <c:v>44683</c:v>
                      </c:pt>
                      <c:pt idx="383">
                        <c:v>44690</c:v>
                      </c:pt>
                      <c:pt idx="384">
                        <c:v>44697</c:v>
                      </c:pt>
                      <c:pt idx="385">
                        <c:v>44704</c:v>
                      </c:pt>
                      <c:pt idx="386">
                        <c:v>44711</c:v>
                      </c:pt>
                      <c:pt idx="387">
                        <c:v>44718</c:v>
                      </c:pt>
                      <c:pt idx="388">
                        <c:v>44725</c:v>
                      </c:pt>
                      <c:pt idx="389">
                        <c:v>44732</c:v>
                      </c:pt>
                      <c:pt idx="390">
                        <c:v>44739</c:v>
                      </c:pt>
                      <c:pt idx="391">
                        <c:v>44746</c:v>
                      </c:pt>
                      <c:pt idx="392">
                        <c:v>44753</c:v>
                      </c:pt>
                      <c:pt idx="393">
                        <c:v>44760</c:v>
                      </c:pt>
                      <c:pt idx="394">
                        <c:v>44767</c:v>
                      </c:pt>
                      <c:pt idx="395">
                        <c:v>44774</c:v>
                      </c:pt>
                      <c:pt idx="396">
                        <c:v>44781</c:v>
                      </c:pt>
                      <c:pt idx="397">
                        <c:v>44788</c:v>
                      </c:pt>
                      <c:pt idx="398">
                        <c:v>44795</c:v>
                      </c:pt>
                      <c:pt idx="399">
                        <c:v>44802</c:v>
                      </c:pt>
                      <c:pt idx="400">
                        <c:v>44809</c:v>
                      </c:pt>
                      <c:pt idx="401">
                        <c:v>44816</c:v>
                      </c:pt>
                      <c:pt idx="402">
                        <c:v>44823</c:v>
                      </c:pt>
                      <c:pt idx="403">
                        <c:v>44830</c:v>
                      </c:pt>
                      <c:pt idx="404">
                        <c:v>44837</c:v>
                      </c:pt>
                      <c:pt idx="405">
                        <c:v>44844</c:v>
                      </c:pt>
                      <c:pt idx="406">
                        <c:v>44851</c:v>
                      </c:pt>
                      <c:pt idx="407">
                        <c:v>44858</c:v>
                      </c:pt>
                      <c:pt idx="408">
                        <c:v>44865</c:v>
                      </c:pt>
                      <c:pt idx="409">
                        <c:v>44872</c:v>
                      </c:pt>
                      <c:pt idx="410">
                        <c:v>44879</c:v>
                      </c:pt>
                      <c:pt idx="411">
                        <c:v>44886</c:v>
                      </c:pt>
                      <c:pt idx="412">
                        <c:v>44893</c:v>
                      </c:pt>
                      <c:pt idx="413">
                        <c:v>44900</c:v>
                      </c:pt>
                      <c:pt idx="414">
                        <c:v>44907</c:v>
                      </c:pt>
                      <c:pt idx="415">
                        <c:v>44914</c:v>
                      </c:pt>
                      <c:pt idx="416">
                        <c:v>44921</c:v>
                      </c:pt>
                      <c:pt idx="417">
                        <c:v>44928</c:v>
                      </c:pt>
                      <c:pt idx="418">
                        <c:v>44935</c:v>
                      </c:pt>
                      <c:pt idx="419">
                        <c:v>44942</c:v>
                      </c:pt>
                      <c:pt idx="420">
                        <c:v>44949</c:v>
                      </c:pt>
                      <c:pt idx="421">
                        <c:v>44956</c:v>
                      </c:pt>
                      <c:pt idx="422">
                        <c:v>44963</c:v>
                      </c:pt>
                      <c:pt idx="423">
                        <c:v>44970</c:v>
                      </c:pt>
                      <c:pt idx="424">
                        <c:v>44977</c:v>
                      </c:pt>
                      <c:pt idx="425">
                        <c:v>44984</c:v>
                      </c:pt>
                      <c:pt idx="426">
                        <c:v>44991</c:v>
                      </c:pt>
                      <c:pt idx="427">
                        <c:v>44998</c:v>
                      </c:pt>
                      <c:pt idx="428">
                        <c:v>45005</c:v>
                      </c:pt>
                      <c:pt idx="429">
                        <c:v>45012</c:v>
                      </c:pt>
                      <c:pt idx="430">
                        <c:v>45019</c:v>
                      </c:pt>
                      <c:pt idx="431">
                        <c:v>45026</c:v>
                      </c:pt>
                      <c:pt idx="432">
                        <c:v>45033</c:v>
                      </c:pt>
                      <c:pt idx="433">
                        <c:v>45040</c:v>
                      </c:pt>
                      <c:pt idx="434">
                        <c:v>45047</c:v>
                      </c:pt>
                      <c:pt idx="435">
                        <c:v>45054</c:v>
                      </c:pt>
                      <c:pt idx="436">
                        <c:v>45061</c:v>
                      </c:pt>
                      <c:pt idx="437">
                        <c:v>45068</c:v>
                      </c:pt>
                      <c:pt idx="438">
                        <c:v>45075</c:v>
                      </c:pt>
                      <c:pt idx="439">
                        <c:v>45082</c:v>
                      </c:pt>
                      <c:pt idx="440">
                        <c:v>45089</c:v>
                      </c:pt>
                      <c:pt idx="441">
                        <c:v>45096</c:v>
                      </c:pt>
                      <c:pt idx="442">
                        <c:v>45103</c:v>
                      </c:pt>
                      <c:pt idx="443">
                        <c:v>45110</c:v>
                      </c:pt>
                      <c:pt idx="444">
                        <c:v>45117</c:v>
                      </c:pt>
                      <c:pt idx="445">
                        <c:v>45124</c:v>
                      </c:pt>
                      <c:pt idx="446">
                        <c:v>45131</c:v>
                      </c:pt>
                      <c:pt idx="447">
                        <c:v>45138</c:v>
                      </c:pt>
                      <c:pt idx="448">
                        <c:v>45145</c:v>
                      </c:pt>
                      <c:pt idx="449">
                        <c:v>45152</c:v>
                      </c:pt>
                      <c:pt idx="450">
                        <c:v>45159</c:v>
                      </c:pt>
                      <c:pt idx="451">
                        <c:v>45166</c:v>
                      </c:pt>
                      <c:pt idx="452">
                        <c:v>45173</c:v>
                      </c:pt>
                      <c:pt idx="453">
                        <c:v>45180</c:v>
                      </c:pt>
                      <c:pt idx="454">
                        <c:v>45187</c:v>
                      </c:pt>
                      <c:pt idx="455">
                        <c:v>45194</c:v>
                      </c:pt>
                      <c:pt idx="456">
                        <c:v>45201</c:v>
                      </c:pt>
                      <c:pt idx="457">
                        <c:v>45208</c:v>
                      </c:pt>
                      <c:pt idx="458">
                        <c:v>45215</c:v>
                      </c:pt>
                      <c:pt idx="459">
                        <c:v>45222</c:v>
                      </c:pt>
                      <c:pt idx="460">
                        <c:v>45229</c:v>
                      </c:pt>
                      <c:pt idx="461">
                        <c:v>45236</c:v>
                      </c:pt>
                      <c:pt idx="462">
                        <c:v>45243</c:v>
                      </c:pt>
                      <c:pt idx="463">
                        <c:v>45250</c:v>
                      </c:pt>
                      <c:pt idx="464">
                        <c:v>45257</c:v>
                      </c:pt>
                      <c:pt idx="465">
                        <c:v>45264</c:v>
                      </c:pt>
                      <c:pt idx="466">
                        <c:v>45271</c:v>
                      </c:pt>
                      <c:pt idx="467">
                        <c:v>45278</c:v>
                      </c:pt>
                      <c:pt idx="468">
                        <c:v>45285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'excess mortality simple'!$C$2:$C$470</c15:sqref>
                        </c15:formulaRef>
                      </c:ext>
                    </c:extLst>
                    <c:numCache>
                      <c:formatCode>General</c:formatCode>
                      <c:ptCount val="469"/>
                      <c:pt idx="0">
                        <c:v>2.3654879848908998</c:v>
                      </c:pt>
                      <c:pt idx="1">
                        <c:v>2.287801729930226</c:v>
                      </c:pt>
                      <c:pt idx="2">
                        <c:v>2.3541084391474008</c:v>
                      </c:pt>
                      <c:pt idx="3">
                        <c:v>2.3242824552976926</c:v>
                      </c:pt>
                      <c:pt idx="4">
                        <c:v>2.3856062735983121</c:v>
                      </c:pt>
                      <c:pt idx="5">
                        <c:v>2.3820170425748683</c:v>
                      </c:pt>
                      <c:pt idx="6">
                        <c:v>2.357934847000454</c:v>
                      </c:pt>
                      <c:pt idx="7">
                        <c:v>2.3710678622717363</c:v>
                      </c:pt>
                      <c:pt idx="8">
                        <c:v>2.3502480183341627</c:v>
                      </c:pt>
                      <c:pt idx="9">
                        <c:v>2.3263358609287512</c:v>
                      </c:pt>
                      <c:pt idx="10">
                        <c:v>2.2810333672477277</c:v>
                      </c:pt>
                      <c:pt idx="11">
                        <c:v>2.2479732663618068</c:v>
                      </c:pt>
                      <c:pt idx="12">
                        <c:v>2.3010299956639813</c:v>
                      </c:pt>
                      <c:pt idx="13">
                        <c:v>2.2304489213782741</c:v>
                      </c:pt>
                      <c:pt idx="14">
                        <c:v>2.2504200023088941</c:v>
                      </c:pt>
                      <c:pt idx="15">
                        <c:v>2.2479732663618068</c:v>
                      </c:pt>
                      <c:pt idx="16">
                        <c:v>2.2227164711475833</c:v>
                      </c:pt>
                      <c:pt idx="17">
                        <c:v>2.2528530309798933</c:v>
                      </c:pt>
                      <c:pt idx="18">
                        <c:v>2.167317334748176</c:v>
                      </c:pt>
                      <c:pt idx="19">
                        <c:v>2.1903316981702914</c:v>
                      </c:pt>
                      <c:pt idx="20">
                        <c:v>2.2329961103921536</c:v>
                      </c:pt>
                      <c:pt idx="21">
                        <c:v>2.1846914308175989</c:v>
                      </c:pt>
                      <c:pt idx="22">
                        <c:v>2.2304489213782741</c:v>
                      </c:pt>
                      <c:pt idx="23">
                        <c:v>2.2121876044039577</c:v>
                      </c:pt>
                      <c:pt idx="24">
                        <c:v>2.1818435879447726</c:v>
                      </c:pt>
                      <c:pt idx="25">
                        <c:v>2.287801729930226</c:v>
                      </c:pt>
                      <c:pt idx="26">
                        <c:v>2.2648178230095364</c:v>
                      </c:pt>
                      <c:pt idx="27">
                        <c:v>2.1613680022349748</c:v>
                      </c:pt>
                      <c:pt idx="28">
                        <c:v>2.1613680022349748</c:v>
                      </c:pt>
                      <c:pt idx="29">
                        <c:v>2.220108088040055</c:v>
                      </c:pt>
                      <c:pt idx="30">
                        <c:v>2.2833012287035497</c:v>
                      </c:pt>
                      <c:pt idx="31">
                        <c:v>2.1958996524092336</c:v>
                      </c:pt>
                      <c:pt idx="32">
                        <c:v>2.1398790864012365</c:v>
                      </c:pt>
                      <c:pt idx="33">
                        <c:v>2.2380461031287955</c:v>
                      </c:pt>
                      <c:pt idx="34">
                        <c:v>2.2068258760318495</c:v>
                      </c:pt>
                      <c:pt idx="35">
                        <c:v>2.173186268412274</c:v>
                      </c:pt>
                      <c:pt idx="36">
                        <c:v>2.1903316981702914</c:v>
                      </c:pt>
                      <c:pt idx="37">
                        <c:v>2.2041199826559246</c:v>
                      </c:pt>
                      <c:pt idx="38">
                        <c:v>2.2455126678141499</c:v>
                      </c:pt>
                      <c:pt idx="39">
                        <c:v>2.2600713879850747</c:v>
                      </c:pt>
                      <c:pt idx="40">
                        <c:v>2.220108088040055</c:v>
                      </c:pt>
                      <c:pt idx="41">
                        <c:v>2.2504200023088941</c:v>
                      </c:pt>
                      <c:pt idx="42">
                        <c:v>2.2174839442139063</c:v>
                      </c:pt>
                      <c:pt idx="43">
                        <c:v>2.2121876044039577</c:v>
                      </c:pt>
                      <c:pt idx="44">
                        <c:v>2.2329961103921536</c:v>
                      </c:pt>
                      <c:pt idx="45">
                        <c:v>2.287801729930226</c:v>
                      </c:pt>
                      <c:pt idx="46">
                        <c:v>2.2455126678141499</c:v>
                      </c:pt>
                      <c:pt idx="47">
                        <c:v>2.167317334748176</c:v>
                      </c:pt>
                      <c:pt idx="48">
                        <c:v>2.2455126678141499</c:v>
                      </c:pt>
                      <c:pt idx="49">
                        <c:v>2.1931245983544616</c:v>
                      </c:pt>
                      <c:pt idx="50">
                        <c:v>2.1789769472931693</c:v>
                      </c:pt>
                      <c:pt idx="51">
                        <c:v>2.2121876044039577</c:v>
                      </c:pt>
                      <c:pt idx="52">
                        <c:v>2.2329961103921536</c:v>
                      </c:pt>
                      <c:pt idx="53">
                        <c:v>2.2810333672477277</c:v>
                      </c:pt>
                      <c:pt idx="54">
                        <c:v>2.2600713879850747</c:v>
                      </c:pt>
                      <c:pt idx="55">
                        <c:v>2.2900346113625178</c:v>
                      </c:pt>
                      <c:pt idx="56">
                        <c:v>2.2833012287035497</c:v>
                      </c:pt>
                      <c:pt idx="57">
                        <c:v>2.2227164711475833</c:v>
                      </c:pt>
                      <c:pt idx="58">
                        <c:v>2.220108088040055</c:v>
                      </c:pt>
                      <c:pt idx="59">
                        <c:v>2.2833012287035497</c:v>
                      </c:pt>
                      <c:pt idx="60">
                        <c:v>2.2695129442179165</c:v>
                      </c:pt>
                      <c:pt idx="61">
                        <c:v>2.287801729930226</c:v>
                      </c:pt>
                      <c:pt idx="62">
                        <c:v>2.2855573090077739</c:v>
                      </c:pt>
                      <c:pt idx="63">
                        <c:v>2.3654879848908998</c:v>
                      </c:pt>
                      <c:pt idx="64">
                        <c:v>2.2528530309798933</c:v>
                      </c:pt>
                      <c:pt idx="65">
                        <c:v>2.1958996524092336</c:v>
                      </c:pt>
                      <c:pt idx="66">
                        <c:v>2.2504200023088941</c:v>
                      </c:pt>
                      <c:pt idx="67">
                        <c:v>2.2528530309798933</c:v>
                      </c:pt>
                      <c:pt idx="68">
                        <c:v>2.2253092817258628</c:v>
                      </c:pt>
                      <c:pt idx="69">
                        <c:v>2.2479732663618068</c:v>
                      </c:pt>
                      <c:pt idx="70">
                        <c:v>2.2479732663618068</c:v>
                      </c:pt>
                      <c:pt idx="71">
                        <c:v>2.1643528557844371</c:v>
                      </c:pt>
                      <c:pt idx="72">
                        <c:v>2.2355284469075487</c:v>
                      </c:pt>
                      <c:pt idx="73">
                        <c:v>2.1789769472931693</c:v>
                      </c:pt>
                      <c:pt idx="74">
                        <c:v>2.1643528557844371</c:v>
                      </c:pt>
                      <c:pt idx="75">
                        <c:v>2.2504200023088941</c:v>
                      </c:pt>
                      <c:pt idx="76">
                        <c:v>2.2095150145426308</c:v>
                      </c:pt>
                      <c:pt idx="77">
                        <c:v>2.1903316981702914</c:v>
                      </c:pt>
                      <c:pt idx="78">
                        <c:v>2.1903316981702914</c:v>
                      </c:pt>
                      <c:pt idx="79">
                        <c:v>2.2041199826559246</c:v>
                      </c:pt>
                      <c:pt idx="80">
                        <c:v>2.2855573090077739</c:v>
                      </c:pt>
                      <c:pt idx="81">
                        <c:v>2.220108088040055</c:v>
                      </c:pt>
                      <c:pt idx="82">
                        <c:v>2.1583624920952498</c:v>
                      </c:pt>
                      <c:pt idx="83">
                        <c:v>2.2227164711475833</c:v>
                      </c:pt>
                      <c:pt idx="84">
                        <c:v>2.173186268412274</c:v>
                      </c:pt>
                      <c:pt idx="85">
                        <c:v>2.2504200023088941</c:v>
                      </c:pt>
                      <c:pt idx="86">
                        <c:v>2.1903316981702914</c:v>
                      </c:pt>
                      <c:pt idx="87">
                        <c:v>2.1931245983544616</c:v>
                      </c:pt>
                      <c:pt idx="88">
                        <c:v>2.220108088040055</c:v>
                      </c:pt>
                      <c:pt idx="89">
                        <c:v>2.1238516409670858</c:v>
                      </c:pt>
                      <c:pt idx="90">
                        <c:v>2.2174839442139063</c:v>
                      </c:pt>
                      <c:pt idx="91">
                        <c:v>2.1903316981702914</c:v>
                      </c:pt>
                      <c:pt idx="92">
                        <c:v>2.2304489213782741</c:v>
                      </c:pt>
                      <c:pt idx="93">
                        <c:v>2.2576785748691846</c:v>
                      </c:pt>
                      <c:pt idx="94">
                        <c:v>2.2174839442139063</c:v>
                      </c:pt>
                      <c:pt idx="95">
                        <c:v>2.2174839442139063</c:v>
                      </c:pt>
                      <c:pt idx="96">
                        <c:v>2.2855573090077739</c:v>
                      </c:pt>
                      <c:pt idx="97">
                        <c:v>2.2787536009528289</c:v>
                      </c:pt>
                      <c:pt idx="98">
                        <c:v>2.2695129442179165</c:v>
                      </c:pt>
                      <c:pt idx="99">
                        <c:v>2.2833012287035497</c:v>
                      </c:pt>
                      <c:pt idx="100">
                        <c:v>2.2504200023088941</c:v>
                      </c:pt>
                      <c:pt idx="101">
                        <c:v>2.287801729930226</c:v>
                      </c:pt>
                      <c:pt idx="102">
                        <c:v>2.1986570869544226</c:v>
                      </c:pt>
                      <c:pt idx="103">
                        <c:v>2.3443922736851106</c:v>
                      </c:pt>
                      <c:pt idx="104">
                        <c:v>2.2966651902615309</c:v>
                      </c:pt>
                      <c:pt idx="105">
                        <c:v>2.3598354823398879</c:v>
                      </c:pt>
                      <c:pt idx="106">
                        <c:v>2.3364597338485296</c:v>
                      </c:pt>
                      <c:pt idx="107">
                        <c:v>2.3404441148401185</c:v>
                      </c:pt>
                      <c:pt idx="108">
                        <c:v>2.3424226808222062</c:v>
                      </c:pt>
                      <c:pt idx="109">
                        <c:v>2.2624510897304293</c:v>
                      </c:pt>
                      <c:pt idx="110">
                        <c:v>2.287801729930226</c:v>
                      </c:pt>
                      <c:pt idx="111">
                        <c:v>2.2944662261615929</c:v>
                      </c:pt>
                      <c:pt idx="112">
                        <c:v>2.271841606536499</c:v>
                      </c:pt>
                      <c:pt idx="113">
                        <c:v>2.2900346113625178</c:v>
                      </c:pt>
                      <c:pt idx="114">
                        <c:v>2.2504200023088941</c:v>
                      </c:pt>
                      <c:pt idx="115">
                        <c:v>2.214843848047698</c:v>
                      </c:pt>
                      <c:pt idx="116">
                        <c:v>2.214843848047698</c:v>
                      </c:pt>
                      <c:pt idx="117">
                        <c:v>2.167317334748176</c:v>
                      </c:pt>
                      <c:pt idx="118">
                        <c:v>2.173186268412274</c:v>
                      </c:pt>
                      <c:pt idx="119">
                        <c:v>2.1903316981702914</c:v>
                      </c:pt>
                      <c:pt idx="120">
                        <c:v>2.1903316981702914</c:v>
                      </c:pt>
                      <c:pt idx="121">
                        <c:v>2.2528530309798933</c:v>
                      </c:pt>
                      <c:pt idx="122">
                        <c:v>2.2455126678141499</c:v>
                      </c:pt>
                      <c:pt idx="123">
                        <c:v>2.2405492482825999</c:v>
                      </c:pt>
                      <c:pt idx="124">
                        <c:v>2.1583624920952498</c:v>
                      </c:pt>
                      <c:pt idx="125">
                        <c:v>2.2380461031287955</c:v>
                      </c:pt>
                      <c:pt idx="126">
                        <c:v>2.1172712956557644</c:v>
                      </c:pt>
                      <c:pt idx="127">
                        <c:v>2.1931245983544616</c:v>
                      </c:pt>
                      <c:pt idx="128">
                        <c:v>2.2600713879850747</c:v>
                      </c:pt>
                      <c:pt idx="129">
                        <c:v>2.220108088040055</c:v>
                      </c:pt>
                      <c:pt idx="130">
                        <c:v>2.255272505103306</c:v>
                      </c:pt>
                      <c:pt idx="131">
                        <c:v>2.2671717284030137</c:v>
                      </c:pt>
                      <c:pt idx="132">
                        <c:v>2.2013971243204513</c:v>
                      </c:pt>
                      <c:pt idx="133">
                        <c:v>2.143014800254095</c:v>
                      </c:pt>
                      <c:pt idx="134">
                        <c:v>2.1986570869544226</c:v>
                      </c:pt>
                      <c:pt idx="135">
                        <c:v>2.2095150145426308</c:v>
                      </c:pt>
                      <c:pt idx="136">
                        <c:v>2.1958996524092336</c:v>
                      </c:pt>
                      <c:pt idx="137">
                        <c:v>2.271841606536499</c:v>
                      </c:pt>
                      <c:pt idx="138">
                        <c:v>2.1958996524092336</c:v>
                      </c:pt>
                      <c:pt idx="139">
                        <c:v>2.2430380486862944</c:v>
                      </c:pt>
                      <c:pt idx="140">
                        <c:v>2.1553360374650619</c:v>
                      </c:pt>
                      <c:pt idx="141">
                        <c:v>2.220108088040055</c:v>
                      </c:pt>
                      <c:pt idx="142">
                        <c:v>2.2304489213782741</c:v>
                      </c:pt>
                      <c:pt idx="143">
                        <c:v>2.1492191126553797</c:v>
                      </c:pt>
                      <c:pt idx="144">
                        <c:v>2.2455126678141499</c:v>
                      </c:pt>
                      <c:pt idx="145">
                        <c:v>2.2528530309798933</c:v>
                      </c:pt>
                      <c:pt idx="146">
                        <c:v>2.2174839442139063</c:v>
                      </c:pt>
                      <c:pt idx="147">
                        <c:v>2.2787536009528289</c:v>
                      </c:pt>
                      <c:pt idx="148">
                        <c:v>2.2304489213782741</c:v>
                      </c:pt>
                      <c:pt idx="149">
                        <c:v>2.2095150145426308</c:v>
                      </c:pt>
                      <c:pt idx="150">
                        <c:v>2.2430380486862944</c:v>
                      </c:pt>
                      <c:pt idx="151">
                        <c:v>2.173186268412274</c:v>
                      </c:pt>
                      <c:pt idx="152">
                        <c:v>2.2695129442179165</c:v>
                      </c:pt>
                      <c:pt idx="153">
                        <c:v>2.2695129442179165</c:v>
                      </c:pt>
                      <c:pt idx="154">
                        <c:v>2.2528530309798933</c:v>
                      </c:pt>
                      <c:pt idx="155">
                        <c:v>2.2504200023088941</c:v>
                      </c:pt>
                      <c:pt idx="156">
                        <c:v>2.2430380486862944</c:v>
                      </c:pt>
                      <c:pt idx="157">
                        <c:v>2.2253092817258628</c:v>
                      </c:pt>
                      <c:pt idx="158">
                        <c:v>2.2504200023088941</c:v>
                      </c:pt>
                      <c:pt idx="159">
                        <c:v>2.2576785748691846</c:v>
                      </c:pt>
                      <c:pt idx="160">
                        <c:v>2.2922560713564759</c:v>
                      </c:pt>
                      <c:pt idx="161">
                        <c:v>2.2576785748691846</c:v>
                      </c:pt>
                      <c:pt idx="162">
                        <c:v>2.3010299956639813</c:v>
                      </c:pt>
                      <c:pt idx="163">
                        <c:v>2.2648178230095364</c:v>
                      </c:pt>
                      <c:pt idx="164">
                        <c:v>2.3541084391474008</c:v>
                      </c:pt>
                      <c:pt idx="165">
                        <c:v>2.399673721481038</c:v>
                      </c:pt>
                      <c:pt idx="166">
                        <c:v>2.3010299956639813</c:v>
                      </c:pt>
                      <c:pt idx="167">
                        <c:v>2.3222192947339191</c:v>
                      </c:pt>
                      <c:pt idx="168">
                        <c:v>2.255272505103306</c:v>
                      </c:pt>
                      <c:pt idx="169">
                        <c:v>2.271841606536499</c:v>
                      </c:pt>
                      <c:pt idx="170">
                        <c:v>2.2227164711475833</c:v>
                      </c:pt>
                      <c:pt idx="171">
                        <c:v>2.2095150145426308</c:v>
                      </c:pt>
                      <c:pt idx="172">
                        <c:v>2.1903316981702914</c:v>
                      </c:pt>
                      <c:pt idx="173">
                        <c:v>2.1958996524092336</c:v>
                      </c:pt>
                      <c:pt idx="174">
                        <c:v>2.1789769472931693</c:v>
                      </c:pt>
                      <c:pt idx="175">
                        <c:v>2.1846914308175989</c:v>
                      </c:pt>
                      <c:pt idx="176">
                        <c:v>2.1583624920952498</c:v>
                      </c:pt>
                      <c:pt idx="177">
                        <c:v>2.2576785748691846</c:v>
                      </c:pt>
                      <c:pt idx="178">
                        <c:v>2.1367205671564067</c:v>
                      </c:pt>
                      <c:pt idx="179">
                        <c:v>2.1461280356782382</c:v>
                      </c:pt>
                      <c:pt idx="180">
                        <c:v>2.2041199826559246</c:v>
                      </c:pt>
                      <c:pt idx="181">
                        <c:v>2.2253092817258628</c:v>
                      </c:pt>
                      <c:pt idx="182">
                        <c:v>2.2600713879850747</c:v>
                      </c:pt>
                      <c:pt idx="183">
                        <c:v>2.1958996524092336</c:v>
                      </c:pt>
                      <c:pt idx="184">
                        <c:v>2.214843848047698</c:v>
                      </c:pt>
                      <c:pt idx="185">
                        <c:v>2.2355284469075487</c:v>
                      </c:pt>
                      <c:pt idx="186">
                        <c:v>2.2041199826559246</c:v>
                      </c:pt>
                      <c:pt idx="187">
                        <c:v>2.2900346113625178</c:v>
                      </c:pt>
                      <c:pt idx="188">
                        <c:v>2.2479732663618068</c:v>
                      </c:pt>
                      <c:pt idx="189">
                        <c:v>2.1583624920952498</c:v>
                      </c:pt>
                      <c:pt idx="190">
                        <c:v>2.1461280356782382</c:v>
                      </c:pt>
                      <c:pt idx="191">
                        <c:v>2.2329961103921536</c:v>
                      </c:pt>
                      <c:pt idx="192">
                        <c:v>2.1522883443830563</c:v>
                      </c:pt>
                      <c:pt idx="193">
                        <c:v>2.2068258760318495</c:v>
                      </c:pt>
                      <c:pt idx="194">
                        <c:v>2.1643528557844371</c:v>
                      </c:pt>
                      <c:pt idx="195">
                        <c:v>2.1553360374650619</c:v>
                      </c:pt>
                      <c:pt idx="196">
                        <c:v>2.2405492482825999</c:v>
                      </c:pt>
                      <c:pt idx="197">
                        <c:v>2.2227164711475833</c:v>
                      </c:pt>
                      <c:pt idx="198">
                        <c:v>2.1958996524092336</c:v>
                      </c:pt>
                      <c:pt idx="199">
                        <c:v>2.173186268412274</c:v>
                      </c:pt>
                      <c:pt idx="200">
                        <c:v>2.2068258760318495</c:v>
                      </c:pt>
                      <c:pt idx="201">
                        <c:v>2.2455126678141499</c:v>
                      </c:pt>
                      <c:pt idx="202">
                        <c:v>2.1846914308175989</c:v>
                      </c:pt>
                      <c:pt idx="203">
                        <c:v>2.2695129442179165</c:v>
                      </c:pt>
                      <c:pt idx="204">
                        <c:v>2.2787536009528289</c:v>
                      </c:pt>
                      <c:pt idx="205">
                        <c:v>2.2922560713564759</c:v>
                      </c:pt>
                      <c:pt idx="206">
                        <c:v>2.2430380486862944</c:v>
                      </c:pt>
                      <c:pt idx="207">
                        <c:v>2.2068258760318495</c:v>
                      </c:pt>
                      <c:pt idx="208">
                        <c:v>2.271841606536499</c:v>
                      </c:pt>
                      <c:pt idx="209">
                        <c:v>2.2900346113625178</c:v>
                      </c:pt>
                      <c:pt idx="210">
                        <c:v>2.307496037913213</c:v>
                      </c:pt>
                      <c:pt idx="211">
                        <c:v>2.3053513694466239</c:v>
                      </c:pt>
                      <c:pt idx="212">
                        <c:v>2.2833012287035497</c:v>
                      </c:pt>
                      <c:pt idx="213">
                        <c:v>2.2900346113625178</c:v>
                      </c:pt>
                      <c:pt idx="214">
                        <c:v>2.2787536009528289</c:v>
                      </c:pt>
                      <c:pt idx="215">
                        <c:v>2.3053513694466239</c:v>
                      </c:pt>
                      <c:pt idx="216">
                        <c:v>2.3053513694466239</c:v>
                      </c:pt>
                      <c:pt idx="217">
                        <c:v>2.271841606536499</c:v>
                      </c:pt>
                      <c:pt idx="218">
                        <c:v>2.2253092817258628</c:v>
                      </c:pt>
                      <c:pt idx="219">
                        <c:v>2.2121876044039577</c:v>
                      </c:pt>
                      <c:pt idx="220">
                        <c:v>2.2528530309798933</c:v>
                      </c:pt>
                      <c:pt idx="221">
                        <c:v>2.1398790864012365</c:v>
                      </c:pt>
                      <c:pt idx="222">
                        <c:v>2.2405492482825999</c:v>
                      </c:pt>
                      <c:pt idx="223">
                        <c:v>2.2855573090077739</c:v>
                      </c:pt>
                      <c:pt idx="224">
                        <c:v>2.2278867046136734</c:v>
                      </c:pt>
                      <c:pt idx="225">
                        <c:v>2.1643528557844371</c:v>
                      </c:pt>
                      <c:pt idx="226">
                        <c:v>2.2174839442139063</c:v>
                      </c:pt>
                      <c:pt idx="227">
                        <c:v>2.2329961103921536</c:v>
                      </c:pt>
                      <c:pt idx="228">
                        <c:v>2.1986570869544226</c:v>
                      </c:pt>
                      <c:pt idx="229">
                        <c:v>2.2329961103921536</c:v>
                      </c:pt>
                      <c:pt idx="230">
                        <c:v>2.2278867046136734</c:v>
                      </c:pt>
                      <c:pt idx="231">
                        <c:v>2.1875207208364631</c:v>
                      </c:pt>
                      <c:pt idx="232">
                        <c:v>2.1846914308175989</c:v>
                      </c:pt>
                      <c:pt idx="233">
                        <c:v>2.2648178230095364</c:v>
                      </c:pt>
                      <c:pt idx="234">
                        <c:v>2.2121876044039577</c:v>
                      </c:pt>
                      <c:pt idx="235">
                        <c:v>2.167317334748176</c:v>
                      </c:pt>
                      <c:pt idx="236">
                        <c:v>2.1818435879447726</c:v>
                      </c:pt>
                      <c:pt idx="237">
                        <c:v>2.3443922736851106</c:v>
                      </c:pt>
                      <c:pt idx="238">
                        <c:v>2.2121876044039577</c:v>
                      </c:pt>
                      <c:pt idx="239">
                        <c:v>2.2405492482825999</c:v>
                      </c:pt>
                      <c:pt idx="240">
                        <c:v>2.143014800254095</c:v>
                      </c:pt>
                      <c:pt idx="241">
                        <c:v>2.2013971243204513</c:v>
                      </c:pt>
                      <c:pt idx="242">
                        <c:v>2.2174839442139063</c:v>
                      </c:pt>
                      <c:pt idx="243">
                        <c:v>2.2304489213782741</c:v>
                      </c:pt>
                      <c:pt idx="244">
                        <c:v>2.220108088040055</c:v>
                      </c:pt>
                      <c:pt idx="245">
                        <c:v>2.1931245983544616</c:v>
                      </c:pt>
                      <c:pt idx="246">
                        <c:v>2.1702617153949575</c:v>
                      </c:pt>
                      <c:pt idx="247">
                        <c:v>2.2695129442179165</c:v>
                      </c:pt>
                      <c:pt idx="248">
                        <c:v>2.1492191126553797</c:v>
                      </c:pt>
                      <c:pt idx="249">
                        <c:v>2.1818435879447726</c:v>
                      </c:pt>
                      <c:pt idx="250">
                        <c:v>2.2600713879850747</c:v>
                      </c:pt>
                      <c:pt idx="251">
                        <c:v>2.2227164711475833</c:v>
                      </c:pt>
                      <c:pt idx="252">
                        <c:v>2.214843848047698</c:v>
                      </c:pt>
                      <c:pt idx="253">
                        <c:v>2.1760912590556813</c:v>
                      </c:pt>
                      <c:pt idx="254">
                        <c:v>2.2528530309798933</c:v>
                      </c:pt>
                      <c:pt idx="255">
                        <c:v>2.1818435879447726</c:v>
                      </c:pt>
                      <c:pt idx="256">
                        <c:v>2.1760912590556813</c:v>
                      </c:pt>
                      <c:pt idx="257">
                        <c:v>2.2455126678141499</c:v>
                      </c:pt>
                      <c:pt idx="258">
                        <c:v>2.2764618041732443</c:v>
                      </c:pt>
                      <c:pt idx="259">
                        <c:v>2.220108088040055</c:v>
                      </c:pt>
                      <c:pt idx="260">
                        <c:v>2.255272505103306</c:v>
                      </c:pt>
                      <c:pt idx="261">
                        <c:v>2.2671717284030137</c:v>
                      </c:pt>
                      <c:pt idx="262">
                        <c:v>2.2253092817258628</c:v>
                      </c:pt>
                      <c:pt idx="263">
                        <c:v>2.2479732663618068</c:v>
                      </c:pt>
                      <c:pt idx="264">
                        <c:v>2.287801729930226</c:v>
                      </c:pt>
                      <c:pt idx="265">
                        <c:v>2.27415784926368</c:v>
                      </c:pt>
                      <c:pt idx="266">
                        <c:v>2.2855573090077739</c:v>
                      </c:pt>
                      <c:pt idx="267">
                        <c:v>2.2810333672477277</c:v>
                      </c:pt>
                      <c:pt idx="268">
                        <c:v>2.2787536009528289</c:v>
                      </c:pt>
                      <c:pt idx="269">
                        <c:v>2.2787536009528289</c:v>
                      </c:pt>
                      <c:pt idx="270">
                        <c:v>2.2855573090077739</c:v>
                      </c:pt>
                      <c:pt idx="271">
                        <c:v>2.4048337166199381</c:v>
                      </c:pt>
                      <c:pt idx="272">
                        <c:v>2.5198279937757189</c:v>
                      </c:pt>
                      <c:pt idx="273">
                        <c:v>2.6830470382388496</c:v>
                      </c:pt>
                      <c:pt idx="274">
                        <c:v>2.7118072290411912</c:v>
                      </c:pt>
                      <c:pt idx="275">
                        <c:v>2.5717088318086878</c:v>
                      </c:pt>
                      <c:pt idx="276">
                        <c:v>2.4899584794248346</c:v>
                      </c:pt>
                      <c:pt idx="277">
                        <c:v>2.3710678622717363</c:v>
                      </c:pt>
                      <c:pt idx="278">
                        <c:v>2.2833012287035497</c:v>
                      </c:pt>
                      <c:pt idx="279">
                        <c:v>2.2430380486862944</c:v>
                      </c:pt>
                      <c:pt idx="280">
                        <c:v>2.2278867046136734</c:v>
                      </c:pt>
                      <c:pt idx="281">
                        <c:v>2.1702617153949575</c:v>
                      </c:pt>
                      <c:pt idx="282">
                        <c:v>2.167317334748176</c:v>
                      </c:pt>
                      <c:pt idx="283">
                        <c:v>2.1553360374650619</c:v>
                      </c:pt>
                      <c:pt idx="284">
                        <c:v>2.173186268412274</c:v>
                      </c:pt>
                      <c:pt idx="285">
                        <c:v>2.2068258760318495</c:v>
                      </c:pt>
                      <c:pt idx="286">
                        <c:v>2.1492191126553797</c:v>
                      </c:pt>
                      <c:pt idx="287">
                        <c:v>2.1003705451175629</c:v>
                      </c:pt>
                      <c:pt idx="288">
                        <c:v>2.1461280356782382</c:v>
                      </c:pt>
                      <c:pt idx="289">
                        <c:v>2.2013971243204513</c:v>
                      </c:pt>
                      <c:pt idx="290">
                        <c:v>2.1303337684950061</c:v>
                      </c:pt>
                      <c:pt idx="291">
                        <c:v>2.1986570869544226</c:v>
                      </c:pt>
                      <c:pt idx="292">
                        <c:v>2.399673721481038</c:v>
                      </c:pt>
                      <c:pt idx="293">
                        <c:v>2.3117538610557542</c:v>
                      </c:pt>
                      <c:pt idx="294">
                        <c:v>2.1003705451175629</c:v>
                      </c:pt>
                      <c:pt idx="295">
                        <c:v>2.1903316981702914</c:v>
                      </c:pt>
                      <c:pt idx="296">
                        <c:v>2.1522883443830563</c:v>
                      </c:pt>
                      <c:pt idx="297">
                        <c:v>2.1760912590556813</c:v>
                      </c:pt>
                      <c:pt idx="298">
                        <c:v>2.1903316981702914</c:v>
                      </c:pt>
                      <c:pt idx="299">
                        <c:v>2.2041199826559246</c:v>
                      </c:pt>
                      <c:pt idx="300">
                        <c:v>2.2648178230095364</c:v>
                      </c:pt>
                      <c:pt idx="301">
                        <c:v>2.2504200023088941</c:v>
                      </c:pt>
                      <c:pt idx="302">
                        <c:v>2.3979400086720375</c:v>
                      </c:pt>
                      <c:pt idx="303">
                        <c:v>2.4996870826184039</c:v>
                      </c:pt>
                      <c:pt idx="304">
                        <c:v>2.5132176000679389</c:v>
                      </c:pt>
                      <c:pt idx="305">
                        <c:v>2.4683473304121573</c:v>
                      </c:pt>
                      <c:pt idx="306">
                        <c:v>2.4409090820652177</c:v>
                      </c:pt>
                      <c:pt idx="307">
                        <c:v>2.4183012913197452</c:v>
                      </c:pt>
                      <c:pt idx="308">
                        <c:v>2.27415784926368</c:v>
                      </c:pt>
                      <c:pt idx="309">
                        <c:v>2.3521825181113627</c:v>
                      </c:pt>
                      <c:pt idx="310">
                        <c:v>2.3053513694466239</c:v>
                      </c:pt>
                      <c:pt idx="311">
                        <c:v>2.2787536009528289</c:v>
                      </c:pt>
                      <c:pt idx="312">
                        <c:v>2.27415784926368</c:v>
                      </c:pt>
                      <c:pt idx="313">
                        <c:v>2.2430380486862944</c:v>
                      </c:pt>
                      <c:pt idx="314">
                        <c:v>2.1875207208364631</c:v>
                      </c:pt>
                      <c:pt idx="315">
                        <c:v>2.2253092817258628</c:v>
                      </c:pt>
                      <c:pt idx="316">
                        <c:v>2.2833012287035497</c:v>
                      </c:pt>
                      <c:pt idx="317">
                        <c:v>2.2278867046136734</c:v>
                      </c:pt>
                      <c:pt idx="318">
                        <c:v>2.2329961103921536</c:v>
                      </c:pt>
                      <c:pt idx="319">
                        <c:v>2.2174839442139063</c:v>
                      </c:pt>
                      <c:pt idx="320">
                        <c:v>2.2068258760318495</c:v>
                      </c:pt>
                      <c:pt idx="321">
                        <c:v>2.2504200023088941</c:v>
                      </c:pt>
                      <c:pt idx="322">
                        <c:v>2.220108088040055</c:v>
                      </c:pt>
                      <c:pt idx="323">
                        <c:v>2.2405492482825999</c:v>
                      </c:pt>
                      <c:pt idx="324">
                        <c:v>2.1903316981702914</c:v>
                      </c:pt>
                      <c:pt idx="325">
                        <c:v>2.2764618041732443</c:v>
                      </c:pt>
                      <c:pt idx="326">
                        <c:v>2.2648178230095364</c:v>
                      </c:pt>
                      <c:pt idx="327">
                        <c:v>2.27415784926368</c:v>
                      </c:pt>
                      <c:pt idx="328">
                        <c:v>2.2355284469075487</c:v>
                      </c:pt>
                      <c:pt idx="329">
                        <c:v>2.2671717284030137</c:v>
                      </c:pt>
                      <c:pt idx="330">
                        <c:v>2.3483048630481607</c:v>
                      </c:pt>
                      <c:pt idx="331">
                        <c:v>2.1760912590556813</c:v>
                      </c:pt>
                      <c:pt idx="332">
                        <c:v>2.2013971243204513</c:v>
                      </c:pt>
                      <c:pt idx="333">
                        <c:v>2.2121876044039577</c:v>
                      </c:pt>
                      <c:pt idx="334">
                        <c:v>2.2174839442139063</c:v>
                      </c:pt>
                      <c:pt idx="335">
                        <c:v>2.173186268412274</c:v>
                      </c:pt>
                      <c:pt idx="336">
                        <c:v>2.2430380486862944</c:v>
                      </c:pt>
                      <c:pt idx="337">
                        <c:v>2.1583624920952498</c:v>
                      </c:pt>
                      <c:pt idx="338">
                        <c:v>2.1846914308175989</c:v>
                      </c:pt>
                      <c:pt idx="339">
                        <c:v>2.1271047983648077</c:v>
                      </c:pt>
                      <c:pt idx="340">
                        <c:v>2.1367205671564067</c:v>
                      </c:pt>
                      <c:pt idx="341">
                        <c:v>2.1903316981702914</c:v>
                      </c:pt>
                      <c:pt idx="342">
                        <c:v>2.1643528557844371</c:v>
                      </c:pt>
                      <c:pt idx="343">
                        <c:v>2.2013971243204513</c:v>
                      </c:pt>
                      <c:pt idx="344">
                        <c:v>2.1958996524092336</c:v>
                      </c:pt>
                      <c:pt idx="345">
                        <c:v>2.1789769472931693</c:v>
                      </c:pt>
                      <c:pt idx="346">
                        <c:v>2.1846914308175989</c:v>
                      </c:pt>
                      <c:pt idx="347">
                        <c:v>2.173186268412274</c:v>
                      </c:pt>
                      <c:pt idx="348">
                        <c:v>2.2121876044039577</c:v>
                      </c:pt>
                      <c:pt idx="349">
                        <c:v>2.1958996524092336</c:v>
                      </c:pt>
                      <c:pt idx="350">
                        <c:v>2.1760912590556813</c:v>
                      </c:pt>
                      <c:pt idx="351">
                        <c:v>2.2174839442139063</c:v>
                      </c:pt>
                      <c:pt idx="352">
                        <c:v>2.2329961103921536</c:v>
                      </c:pt>
                      <c:pt idx="353">
                        <c:v>2.255272505103306</c:v>
                      </c:pt>
                      <c:pt idx="354">
                        <c:v>2.2624510897304293</c:v>
                      </c:pt>
                      <c:pt idx="355">
                        <c:v>2.2900346113625178</c:v>
                      </c:pt>
                      <c:pt idx="356">
                        <c:v>2.2405492482825999</c:v>
                      </c:pt>
                      <c:pt idx="357">
                        <c:v>2.271841606536499</c:v>
                      </c:pt>
                      <c:pt idx="358">
                        <c:v>2.2944662261615929</c:v>
                      </c:pt>
                      <c:pt idx="359">
                        <c:v>2.2576785748691846</c:v>
                      </c:pt>
                      <c:pt idx="360">
                        <c:v>2.2787536009528289</c:v>
                      </c:pt>
                      <c:pt idx="361">
                        <c:v>2.2600713879850747</c:v>
                      </c:pt>
                      <c:pt idx="362">
                        <c:v>2.2764618041732443</c:v>
                      </c:pt>
                      <c:pt idx="363">
                        <c:v>2.2988530764097068</c:v>
                      </c:pt>
                      <c:pt idx="364">
                        <c:v>2.307496037913213</c:v>
                      </c:pt>
                      <c:pt idx="365">
                        <c:v>2.307496037913213</c:v>
                      </c:pt>
                      <c:pt idx="366">
                        <c:v>2.2355284469075487</c:v>
                      </c:pt>
                      <c:pt idx="367">
                        <c:v>2.3159703454569178</c:v>
                      </c:pt>
                      <c:pt idx="368">
                        <c:v>2.330413773349191</c:v>
                      </c:pt>
                      <c:pt idx="369">
                        <c:v>2.3483048630481607</c:v>
                      </c:pt>
                      <c:pt idx="370">
                        <c:v>2.3201462861110542</c:v>
                      </c:pt>
                      <c:pt idx="371">
                        <c:v>2.214843848047698</c:v>
                      </c:pt>
                      <c:pt idx="372">
                        <c:v>2.1818435879447726</c:v>
                      </c:pt>
                      <c:pt idx="373">
                        <c:v>2.1335389083702174</c:v>
                      </c:pt>
                      <c:pt idx="374">
                        <c:v>2.3117538610557542</c:v>
                      </c:pt>
                      <c:pt idx="375">
                        <c:v>2.27415784926368</c:v>
                      </c:pt>
                      <c:pt idx="376">
                        <c:v>2.2095150145426308</c:v>
                      </c:pt>
                      <c:pt idx="377">
                        <c:v>2.2504200023088941</c:v>
                      </c:pt>
                      <c:pt idx="378">
                        <c:v>2.2455126678141499</c:v>
                      </c:pt>
                      <c:pt idx="379">
                        <c:v>2.2855573090077739</c:v>
                      </c:pt>
                      <c:pt idx="380">
                        <c:v>2.2528530309798933</c:v>
                      </c:pt>
                      <c:pt idx="381">
                        <c:v>2.173186268412274</c:v>
                      </c:pt>
                      <c:pt idx="382">
                        <c:v>2.2278867046136734</c:v>
                      </c:pt>
                      <c:pt idx="383">
                        <c:v>2.1522883443830563</c:v>
                      </c:pt>
                      <c:pt idx="384">
                        <c:v>2.2068258760318495</c:v>
                      </c:pt>
                      <c:pt idx="385">
                        <c:v>2.1702617153949575</c:v>
                      </c:pt>
                      <c:pt idx="386">
                        <c:v>2.167317334748176</c:v>
                      </c:pt>
                      <c:pt idx="387">
                        <c:v>2.173186268412274</c:v>
                      </c:pt>
                      <c:pt idx="388">
                        <c:v>2.2253092817258628</c:v>
                      </c:pt>
                      <c:pt idx="389">
                        <c:v>2.2174839442139063</c:v>
                      </c:pt>
                      <c:pt idx="390">
                        <c:v>2.1846914308175989</c:v>
                      </c:pt>
                      <c:pt idx="391">
                        <c:v>2.1789769472931693</c:v>
                      </c:pt>
                      <c:pt idx="392">
                        <c:v>2.1461280356782382</c:v>
                      </c:pt>
                      <c:pt idx="393">
                        <c:v>2.2988530764097068</c:v>
                      </c:pt>
                      <c:pt idx="394">
                        <c:v>2.2253092817258628</c:v>
                      </c:pt>
                      <c:pt idx="395">
                        <c:v>2.2068258760318495</c:v>
                      </c:pt>
                      <c:pt idx="396">
                        <c:v>2.2479732663618068</c:v>
                      </c:pt>
                      <c:pt idx="397">
                        <c:v>2.173186268412274</c:v>
                      </c:pt>
                      <c:pt idx="398">
                        <c:v>2.214843848047698</c:v>
                      </c:pt>
                      <c:pt idx="399">
                        <c:v>2.1398790864012365</c:v>
                      </c:pt>
                      <c:pt idx="400">
                        <c:v>2.2304489213782741</c:v>
                      </c:pt>
                      <c:pt idx="401">
                        <c:v>2.1553360374650619</c:v>
                      </c:pt>
                      <c:pt idx="402">
                        <c:v>2.1303337684950061</c:v>
                      </c:pt>
                      <c:pt idx="403">
                        <c:v>2.1760912590556813</c:v>
                      </c:pt>
                      <c:pt idx="404">
                        <c:v>2.255272505103306</c:v>
                      </c:pt>
                      <c:pt idx="405">
                        <c:v>2.1789769472931693</c:v>
                      </c:pt>
                      <c:pt idx="406">
                        <c:v>2.2304489213782741</c:v>
                      </c:pt>
                      <c:pt idx="407">
                        <c:v>2.2695129442179165</c:v>
                      </c:pt>
                      <c:pt idx="408">
                        <c:v>2.220108088040055</c:v>
                      </c:pt>
                      <c:pt idx="409">
                        <c:v>2.2174839442139063</c:v>
                      </c:pt>
                      <c:pt idx="410">
                        <c:v>2.1583624920952498</c:v>
                      </c:pt>
                      <c:pt idx="411">
                        <c:v>2.2671717284030137</c:v>
                      </c:pt>
                      <c:pt idx="412">
                        <c:v>2.2304489213782741</c:v>
                      </c:pt>
                      <c:pt idx="413">
                        <c:v>2.1875207208364631</c:v>
                      </c:pt>
                      <c:pt idx="414">
                        <c:v>2.3263358609287512</c:v>
                      </c:pt>
                      <c:pt idx="415">
                        <c:v>2.369215857410143</c:v>
                      </c:pt>
                      <c:pt idx="416">
                        <c:v>2.3364597338485296</c:v>
                      </c:pt>
                      <c:pt idx="417">
                        <c:v>2.3263358609287512</c:v>
                      </c:pt>
                      <c:pt idx="418">
                        <c:v>2.3502480183341627</c:v>
                      </c:pt>
                      <c:pt idx="419">
                        <c:v>2.2329961103921536</c:v>
                      </c:pt>
                      <c:pt idx="420">
                        <c:v>2.2013971243204513</c:v>
                      </c:pt>
                      <c:pt idx="421">
                        <c:v>2.2671717284030137</c:v>
                      </c:pt>
                      <c:pt idx="422">
                        <c:v>2.271841606536499</c:v>
                      </c:pt>
                      <c:pt idx="423">
                        <c:v>2.2253092817258628</c:v>
                      </c:pt>
                      <c:pt idx="424">
                        <c:v>2.2013971243204513</c:v>
                      </c:pt>
                      <c:pt idx="425">
                        <c:v>2.220108088040055</c:v>
                      </c:pt>
                      <c:pt idx="426">
                        <c:v>2.2304489213782741</c:v>
                      </c:pt>
                      <c:pt idx="427">
                        <c:v>2.214843848047698</c:v>
                      </c:pt>
                      <c:pt idx="428">
                        <c:v>2.1789769472931693</c:v>
                      </c:pt>
                      <c:pt idx="429">
                        <c:v>2.2504200023088941</c:v>
                      </c:pt>
                      <c:pt idx="430">
                        <c:v>2.220108088040055</c:v>
                      </c:pt>
                      <c:pt idx="431">
                        <c:v>2.2304489213782741</c:v>
                      </c:pt>
                      <c:pt idx="432">
                        <c:v>2.1986570869544226</c:v>
                      </c:pt>
                      <c:pt idx="433">
                        <c:v>2.2227164711475833</c:v>
                      </c:pt>
                      <c:pt idx="434">
                        <c:v>2.173186268412274</c:v>
                      </c:pt>
                      <c:pt idx="435">
                        <c:v>2.2405492482825999</c:v>
                      </c:pt>
                      <c:pt idx="436">
                        <c:v>2.1986570869544226</c:v>
                      </c:pt>
                      <c:pt idx="437">
                        <c:v>2.1271047983648077</c:v>
                      </c:pt>
                      <c:pt idx="438">
                        <c:v>2.1760912590556813</c:v>
                      </c:pt>
                      <c:pt idx="439">
                        <c:v>2.214843848047698</c:v>
                      </c:pt>
                      <c:pt idx="440">
                        <c:v>2.2528530309798933</c:v>
                      </c:pt>
                      <c:pt idx="441">
                        <c:v>2.0791812460476247</c:v>
                      </c:pt>
                      <c:pt idx="442">
                        <c:v>2.2095150145426308</c:v>
                      </c:pt>
                      <c:pt idx="443">
                        <c:v>2.1789769472931693</c:v>
                      </c:pt>
                      <c:pt idx="444">
                        <c:v>2.1760912590556813</c:v>
                      </c:pt>
                      <c:pt idx="445">
                        <c:v>2.1522883443830563</c:v>
                      </c:pt>
                      <c:pt idx="446">
                        <c:v>2.1398790864012365</c:v>
                      </c:pt>
                      <c:pt idx="447">
                        <c:v>2.1583624920952498</c:v>
                      </c:pt>
                      <c:pt idx="448">
                        <c:v>2.1492191126553797</c:v>
                      </c:pt>
                      <c:pt idx="449">
                        <c:v>2.167317334748176</c:v>
                      </c:pt>
                      <c:pt idx="450">
                        <c:v>2.2095150145426308</c:v>
                      </c:pt>
                      <c:pt idx="451">
                        <c:v>2.1958996524092336</c:v>
                      </c:pt>
                      <c:pt idx="452">
                        <c:v>2.1846914308175989</c:v>
                      </c:pt>
                      <c:pt idx="453">
                        <c:v>2.1986570869544226</c:v>
                      </c:pt>
                      <c:pt idx="454">
                        <c:v>2.167317334748176</c:v>
                      </c:pt>
                      <c:pt idx="455">
                        <c:v>2.2174839442139063</c:v>
                      </c:pt>
                      <c:pt idx="456">
                        <c:v>2.2430380486862944</c:v>
                      </c:pt>
                      <c:pt idx="457">
                        <c:v>2.1903316981702914</c:v>
                      </c:pt>
                      <c:pt idx="458">
                        <c:v>2.2430380486862944</c:v>
                      </c:pt>
                      <c:pt idx="459">
                        <c:v>2.2455126678141499</c:v>
                      </c:pt>
                      <c:pt idx="460">
                        <c:v>2.2013971243204513</c:v>
                      </c:pt>
                      <c:pt idx="461">
                        <c:v>2.2304489213782741</c:v>
                      </c:pt>
                      <c:pt idx="462">
                        <c:v>2.2671717284030137</c:v>
                      </c:pt>
                      <c:pt idx="463">
                        <c:v>2.1760912590556813</c:v>
                      </c:pt>
                      <c:pt idx="464">
                        <c:v>2.2695129442179165</c:v>
                      </c:pt>
                      <c:pt idx="465">
                        <c:v>2.3201462861110542</c:v>
                      </c:pt>
                      <c:pt idx="466">
                        <c:v>2.2988530764097068</c:v>
                      </c:pt>
                      <c:pt idx="467">
                        <c:v>2.3053513694466239</c:v>
                      </c:pt>
                      <c:pt idx="468">
                        <c:v>2.2966651902615309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CB-4891-88A3-2208404555A2}"/>
                  </c:ext>
                </c:extLst>
              </c15:ser>
            </c15:filteredLineSeries>
          </c:ext>
        </c:extLst>
      </c:lineChart>
      <c:dateAx>
        <c:axId val="814312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03327"/>
        <c:crosses val="autoZero"/>
        <c:auto val="1"/>
        <c:lblOffset val="100"/>
        <c:baseTimeUnit val="days"/>
      </c:dateAx>
      <c:valAx>
        <c:axId val="81430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1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Log-Mortality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'excess mortality linear model'!$C$1</c:f>
              <c:strCache>
                <c:ptCount val="1"/>
                <c:pt idx="0">
                  <c:v>Log-Mortality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'excess mortality linear model'!$A$2:$A$470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'excess mortality linear model'!$C$2:$C$470</c:f>
              <c:numCache>
                <c:formatCode>General</c:formatCode>
                <c:ptCount val="469"/>
                <c:pt idx="0">
                  <c:v>2.3654879848908998</c:v>
                </c:pt>
                <c:pt idx="1">
                  <c:v>2.287801729930226</c:v>
                </c:pt>
                <c:pt idx="2">
                  <c:v>2.3541084391474008</c:v>
                </c:pt>
                <c:pt idx="3">
                  <c:v>2.3242824552976926</c:v>
                </c:pt>
                <c:pt idx="4">
                  <c:v>2.3856062735983121</c:v>
                </c:pt>
                <c:pt idx="5">
                  <c:v>2.3820170425748683</c:v>
                </c:pt>
                <c:pt idx="6">
                  <c:v>2.357934847000454</c:v>
                </c:pt>
                <c:pt idx="7">
                  <c:v>2.3710678622717363</c:v>
                </c:pt>
                <c:pt idx="8">
                  <c:v>2.3502480183341627</c:v>
                </c:pt>
                <c:pt idx="9">
                  <c:v>2.3263358609287512</c:v>
                </c:pt>
                <c:pt idx="10">
                  <c:v>2.2810333672477277</c:v>
                </c:pt>
                <c:pt idx="11">
                  <c:v>2.2479732663618068</c:v>
                </c:pt>
                <c:pt idx="12">
                  <c:v>2.3010299956639813</c:v>
                </c:pt>
                <c:pt idx="13">
                  <c:v>2.2304489213782741</c:v>
                </c:pt>
                <c:pt idx="14">
                  <c:v>2.2504200023088941</c:v>
                </c:pt>
                <c:pt idx="15">
                  <c:v>2.2479732663618068</c:v>
                </c:pt>
                <c:pt idx="16">
                  <c:v>2.2227164711475833</c:v>
                </c:pt>
                <c:pt idx="17">
                  <c:v>2.2528530309798933</c:v>
                </c:pt>
                <c:pt idx="18">
                  <c:v>2.167317334748176</c:v>
                </c:pt>
                <c:pt idx="19">
                  <c:v>2.1903316981702914</c:v>
                </c:pt>
                <c:pt idx="20">
                  <c:v>2.2329961103921536</c:v>
                </c:pt>
                <c:pt idx="21">
                  <c:v>2.1846914308175989</c:v>
                </c:pt>
                <c:pt idx="22">
                  <c:v>2.2304489213782741</c:v>
                </c:pt>
                <c:pt idx="23">
                  <c:v>2.2121876044039577</c:v>
                </c:pt>
                <c:pt idx="24">
                  <c:v>2.1818435879447726</c:v>
                </c:pt>
                <c:pt idx="25">
                  <c:v>2.287801729930226</c:v>
                </c:pt>
                <c:pt idx="26">
                  <c:v>2.2648178230095364</c:v>
                </c:pt>
                <c:pt idx="27">
                  <c:v>2.1613680022349748</c:v>
                </c:pt>
                <c:pt idx="28">
                  <c:v>2.1613680022349748</c:v>
                </c:pt>
                <c:pt idx="29">
                  <c:v>2.220108088040055</c:v>
                </c:pt>
                <c:pt idx="30">
                  <c:v>2.2833012287035497</c:v>
                </c:pt>
                <c:pt idx="31">
                  <c:v>2.1958996524092336</c:v>
                </c:pt>
                <c:pt idx="32">
                  <c:v>2.1398790864012365</c:v>
                </c:pt>
                <c:pt idx="33">
                  <c:v>2.2380461031287955</c:v>
                </c:pt>
                <c:pt idx="34">
                  <c:v>2.2068258760318495</c:v>
                </c:pt>
                <c:pt idx="35">
                  <c:v>2.173186268412274</c:v>
                </c:pt>
                <c:pt idx="36">
                  <c:v>2.1903316981702914</c:v>
                </c:pt>
                <c:pt idx="37">
                  <c:v>2.2041199826559246</c:v>
                </c:pt>
                <c:pt idx="38">
                  <c:v>2.2455126678141499</c:v>
                </c:pt>
                <c:pt idx="39">
                  <c:v>2.2600713879850747</c:v>
                </c:pt>
                <c:pt idx="40">
                  <c:v>2.220108088040055</c:v>
                </c:pt>
                <c:pt idx="41">
                  <c:v>2.2504200023088941</c:v>
                </c:pt>
                <c:pt idx="42">
                  <c:v>2.2174839442139063</c:v>
                </c:pt>
                <c:pt idx="43">
                  <c:v>2.2121876044039577</c:v>
                </c:pt>
                <c:pt idx="44">
                  <c:v>2.2329961103921536</c:v>
                </c:pt>
                <c:pt idx="45">
                  <c:v>2.287801729930226</c:v>
                </c:pt>
                <c:pt idx="46">
                  <c:v>2.2455126678141499</c:v>
                </c:pt>
                <c:pt idx="47">
                  <c:v>2.167317334748176</c:v>
                </c:pt>
                <c:pt idx="48">
                  <c:v>2.2455126678141499</c:v>
                </c:pt>
                <c:pt idx="49">
                  <c:v>2.1931245983544616</c:v>
                </c:pt>
                <c:pt idx="50">
                  <c:v>2.1789769472931693</c:v>
                </c:pt>
                <c:pt idx="51">
                  <c:v>2.2121876044039577</c:v>
                </c:pt>
                <c:pt idx="52">
                  <c:v>2.2329961103921536</c:v>
                </c:pt>
                <c:pt idx="53">
                  <c:v>2.2810333672477277</c:v>
                </c:pt>
                <c:pt idx="54">
                  <c:v>2.2600713879850747</c:v>
                </c:pt>
                <c:pt idx="55">
                  <c:v>2.2900346113625178</c:v>
                </c:pt>
                <c:pt idx="56">
                  <c:v>2.2833012287035497</c:v>
                </c:pt>
                <c:pt idx="57">
                  <c:v>2.2227164711475833</c:v>
                </c:pt>
                <c:pt idx="58">
                  <c:v>2.220108088040055</c:v>
                </c:pt>
                <c:pt idx="59">
                  <c:v>2.2833012287035497</c:v>
                </c:pt>
                <c:pt idx="60">
                  <c:v>2.2695129442179165</c:v>
                </c:pt>
                <c:pt idx="61">
                  <c:v>2.287801729930226</c:v>
                </c:pt>
                <c:pt idx="62">
                  <c:v>2.2855573090077739</c:v>
                </c:pt>
                <c:pt idx="63">
                  <c:v>2.3654879848908998</c:v>
                </c:pt>
                <c:pt idx="64">
                  <c:v>2.2528530309798933</c:v>
                </c:pt>
                <c:pt idx="65">
                  <c:v>2.1958996524092336</c:v>
                </c:pt>
                <c:pt idx="66">
                  <c:v>2.2504200023088941</c:v>
                </c:pt>
                <c:pt idx="67">
                  <c:v>2.2528530309798933</c:v>
                </c:pt>
                <c:pt idx="68">
                  <c:v>2.2253092817258628</c:v>
                </c:pt>
                <c:pt idx="69">
                  <c:v>2.2479732663618068</c:v>
                </c:pt>
                <c:pt idx="70">
                  <c:v>2.2479732663618068</c:v>
                </c:pt>
                <c:pt idx="71">
                  <c:v>2.1643528557844371</c:v>
                </c:pt>
                <c:pt idx="72">
                  <c:v>2.2355284469075487</c:v>
                </c:pt>
                <c:pt idx="73">
                  <c:v>2.1789769472931693</c:v>
                </c:pt>
                <c:pt idx="74">
                  <c:v>2.1643528557844371</c:v>
                </c:pt>
                <c:pt idx="75">
                  <c:v>2.2504200023088941</c:v>
                </c:pt>
                <c:pt idx="76">
                  <c:v>2.2095150145426308</c:v>
                </c:pt>
                <c:pt idx="77">
                  <c:v>2.1903316981702914</c:v>
                </c:pt>
                <c:pt idx="78">
                  <c:v>2.1903316981702914</c:v>
                </c:pt>
                <c:pt idx="79">
                  <c:v>2.2041199826559246</c:v>
                </c:pt>
                <c:pt idx="80">
                  <c:v>2.2855573090077739</c:v>
                </c:pt>
                <c:pt idx="81">
                  <c:v>2.220108088040055</c:v>
                </c:pt>
                <c:pt idx="82">
                  <c:v>2.1583624920952498</c:v>
                </c:pt>
                <c:pt idx="83">
                  <c:v>2.2227164711475833</c:v>
                </c:pt>
                <c:pt idx="84">
                  <c:v>2.173186268412274</c:v>
                </c:pt>
                <c:pt idx="85">
                  <c:v>2.2504200023088941</c:v>
                </c:pt>
                <c:pt idx="86">
                  <c:v>2.1903316981702914</c:v>
                </c:pt>
                <c:pt idx="87">
                  <c:v>2.1931245983544616</c:v>
                </c:pt>
                <c:pt idx="88">
                  <c:v>2.220108088040055</c:v>
                </c:pt>
                <c:pt idx="89">
                  <c:v>2.1238516409670858</c:v>
                </c:pt>
                <c:pt idx="90">
                  <c:v>2.2174839442139063</c:v>
                </c:pt>
                <c:pt idx="91">
                  <c:v>2.1903316981702914</c:v>
                </c:pt>
                <c:pt idx="92">
                  <c:v>2.2304489213782741</c:v>
                </c:pt>
                <c:pt idx="93">
                  <c:v>2.2576785748691846</c:v>
                </c:pt>
                <c:pt idx="94">
                  <c:v>2.2174839442139063</c:v>
                </c:pt>
                <c:pt idx="95">
                  <c:v>2.2174839442139063</c:v>
                </c:pt>
                <c:pt idx="96">
                  <c:v>2.2855573090077739</c:v>
                </c:pt>
                <c:pt idx="97">
                  <c:v>2.2787536009528289</c:v>
                </c:pt>
                <c:pt idx="98">
                  <c:v>2.2695129442179165</c:v>
                </c:pt>
                <c:pt idx="99">
                  <c:v>2.2833012287035497</c:v>
                </c:pt>
                <c:pt idx="100">
                  <c:v>2.2504200023088941</c:v>
                </c:pt>
                <c:pt idx="101">
                  <c:v>2.287801729930226</c:v>
                </c:pt>
                <c:pt idx="102">
                  <c:v>2.1986570869544226</c:v>
                </c:pt>
                <c:pt idx="103">
                  <c:v>2.3443922736851106</c:v>
                </c:pt>
                <c:pt idx="104">
                  <c:v>2.2966651902615309</c:v>
                </c:pt>
                <c:pt idx="105">
                  <c:v>2.3598354823398879</c:v>
                </c:pt>
                <c:pt idx="106">
                  <c:v>2.3364597338485296</c:v>
                </c:pt>
                <c:pt idx="107">
                  <c:v>2.3404441148401185</c:v>
                </c:pt>
                <c:pt idx="108">
                  <c:v>2.3424226808222062</c:v>
                </c:pt>
                <c:pt idx="109">
                  <c:v>2.2624510897304293</c:v>
                </c:pt>
                <c:pt idx="110">
                  <c:v>2.287801729930226</c:v>
                </c:pt>
                <c:pt idx="111">
                  <c:v>2.2944662261615929</c:v>
                </c:pt>
                <c:pt idx="112">
                  <c:v>2.271841606536499</c:v>
                </c:pt>
                <c:pt idx="113">
                  <c:v>2.2900346113625178</c:v>
                </c:pt>
                <c:pt idx="114">
                  <c:v>2.2504200023088941</c:v>
                </c:pt>
                <c:pt idx="115">
                  <c:v>2.214843848047698</c:v>
                </c:pt>
                <c:pt idx="116">
                  <c:v>2.214843848047698</c:v>
                </c:pt>
                <c:pt idx="117">
                  <c:v>2.167317334748176</c:v>
                </c:pt>
                <c:pt idx="118">
                  <c:v>2.173186268412274</c:v>
                </c:pt>
                <c:pt idx="119">
                  <c:v>2.1903316981702914</c:v>
                </c:pt>
                <c:pt idx="120">
                  <c:v>2.1903316981702914</c:v>
                </c:pt>
                <c:pt idx="121">
                  <c:v>2.2528530309798933</c:v>
                </c:pt>
                <c:pt idx="122">
                  <c:v>2.2455126678141499</c:v>
                </c:pt>
                <c:pt idx="123">
                  <c:v>2.2405492482825999</c:v>
                </c:pt>
                <c:pt idx="124">
                  <c:v>2.1583624920952498</c:v>
                </c:pt>
                <c:pt idx="125">
                  <c:v>2.2380461031287955</c:v>
                </c:pt>
                <c:pt idx="126">
                  <c:v>2.1172712956557644</c:v>
                </c:pt>
                <c:pt idx="127">
                  <c:v>2.1931245983544616</c:v>
                </c:pt>
                <c:pt idx="128">
                  <c:v>2.2600713879850747</c:v>
                </c:pt>
                <c:pt idx="129">
                  <c:v>2.220108088040055</c:v>
                </c:pt>
                <c:pt idx="130">
                  <c:v>2.255272505103306</c:v>
                </c:pt>
                <c:pt idx="131">
                  <c:v>2.2671717284030137</c:v>
                </c:pt>
                <c:pt idx="132">
                  <c:v>2.2013971243204513</c:v>
                </c:pt>
                <c:pt idx="133">
                  <c:v>2.143014800254095</c:v>
                </c:pt>
                <c:pt idx="134">
                  <c:v>2.1986570869544226</c:v>
                </c:pt>
                <c:pt idx="135">
                  <c:v>2.2095150145426308</c:v>
                </c:pt>
                <c:pt idx="136">
                  <c:v>2.1958996524092336</c:v>
                </c:pt>
                <c:pt idx="137">
                  <c:v>2.271841606536499</c:v>
                </c:pt>
                <c:pt idx="138">
                  <c:v>2.1958996524092336</c:v>
                </c:pt>
                <c:pt idx="139">
                  <c:v>2.2430380486862944</c:v>
                </c:pt>
                <c:pt idx="140">
                  <c:v>2.1553360374650619</c:v>
                </c:pt>
                <c:pt idx="141">
                  <c:v>2.220108088040055</c:v>
                </c:pt>
                <c:pt idx="142">
                  <c:v>2.2304489213782741</c:v>
                </c:pt>
                <c:pt idx="143">
                  <c:v>2.1492191126553797</c:v>
                </c:pt>
                <c:pt idx="144">
                  <c:v>2.2455126678141499</c:v>
                </c:pt>
                <c:pt idx="145">
                  <c:v>2.2528530309798933</c:v>
                </c:pt>
                <c:pt idx="146">
                  <c:v>2.2174839442139063</c:v>
                </c:pt>
                <c:pt idx="147">
                  <c:v>2.2787536009528289</c:v>
                </c:pt>
                <c:pt idx="148">
                  <c:v>2.2304489213782741</c:v>
                </c:pt>
                <c:pt idx="149">
                  <c:v>2.2095150145426308</c:v>
                </c:pt>
                <c:pt idx="150">
                  <c:v>2.2430380486862944</c:v>
                </c:pt>
                <c:pt idx="151">
                  <c:v>2.173186268412274</c:v>
                </c:pt>
                <c:pt idx="152">
                  <c:v>2.2695129442179165</c:v>
                </c:pt>
                <c:pt idx="153">
                  <c:v>2.2695129442179165</c:v>
                </c:pt>
                <c:pt idx="154">
                  <c:v>2.2528530309798933</c:v>
                </c:pt>
                <c:pt idx="155">
                  <c:v>2.2504200023088941</c:v>
                </c:pt>
                <c:pt idx="156">
                  <c:v>2.2430380486862944</c:v>
                </c:pt>
                <c:pt idx="157">
                  <c:v>2.2253092817258628</c:v>
                </c:pt>
                <c:pt idx="158">
                  <c:v>2.2504200023088941</c:v>
                </c:pt>
                <c:pt idx="159">
                  <c:v>2.2576785748691846</c:v>
                </c:pt>
                <c:pt idx="160">
                  <c:v>2.2922560713564759</c:v>
                </c:pt>
                <c:pt idx="161">
                  <c:v>2.2576785748691846</c:v>
                </c:pt>
                <c:pt idx="162">
                  <c:v>2.3010299956639813</c:v>
                </c:pt>
                <c:pt idx="163">
                  <c:v>2.2648178230095364</c:v>
                </c:pt>
                <c:pt idx="164">
                  <c:v>2.3541084391474008</c:v>
                </c:pt>
                <c:pt idx="165">
                  <c:v>2.399673721481038</c:v>
                </c:pt>
                <c:pt idx="166">
                  <c:v>2.3010299956639813</c:v>
                </c:pt>
                <c:pt idx="167">
                  <c:v>2.3222192947339191</c:v>
                </c:pt>
                <c:pt idx="168">
                  <c:v>2.255272505103306</c:v>
                </c:pt>
                <c:pt idx="169">
                  <c:v>2.271841606536499</c:v>
                </c:pt>
                <c:pt idx="170">
                  <c:v>2.2227164711475833</c:v>
                </c:pt>
                <c:pt idx="171">
                  <c:v>2.2095150145426308</c:v>
                </c:pt>
                <c:pt idx="172">
                  <c:v>2.1903316981702914</c:v>
                </c:pt>
                <c:pt idx="173">
                  <c:v>2.1958996524092336</c:v>
                </c:pt>
                <c:pt idx="174">
                  <c:v>2.1789769472931693</c:v>
                </c:pt>
                <c:pt idx="175">
                  <c:v>2.1846914308175989</c:v>
                </c:pt>
                <c:pt idx="176">
                  <c:v>2.1583624920952498</c:v>
                </c:pt>
                <c:pt idx="177">
                  <c:v>2.2576785748691846</c:v>
                </c:pt>
                <c:pt idx="178">
                  <c:v>2.1367205671564067</c:v>
                </c:pt>
                <c:pt idx="179">
                  <c:v>2.1461280356782382</c:v>
                </c:pt>
                <c:pt idx="180">
                  <c:v>2.2041199826559246</c:v>
                </c:pt>
                <c:pt idx="181">
                  <c:v>2.2253092817258628</c:v>
                </c:pt>
                <c:pt idx="182">
                  <c:v>2.2600713879850747</c:v>
                </c:pt>
                <c:pt idx="183">
                  <c:v>2.1958996524092336</c:v>
                </c:pt>
                <c:pt idx="184">
                  <c:v>2.214843848047698</c:v>
                </c:pt>
                <c:pt idx="185">
                  <c:v>2.2355284469075487</c:v>
                </c:pt>
                <c:pt idx="186">
                  <c:v>2.2041199826559246</c:v>
                </c:pt>
                <c:pt idx="187">
                  <c:v>2.2900346113625178</c:v>
                </c:pt>
                <c:pt idx="188">
                  <c:v>2.2479732663618068</c:v>
                </c:pt>
                <c:pt idx="189">
                  <c:v>2.1583624920952498</c:v>
                </c:pt>
                <c:pt idx="190">
                  <c:v>2.1461280356782382</c:v>
                </c:pt>
                <c:pt idx="191">
                  <c:v>2.2329961103921536</c:v>
                </c:pt>
                <c:pt idx="192">
                  <c:v>2.1522883443830563</c:v>
                </c:pt>
                <c:pt idx="193">
                  <c:v>2.2068258760318495</c:v>
                </c:pt>
                <c:pt idx="194">
                  <c:v>2.1643528557844371</c:v>
                </c:pt>
                <c:pt idx="195">
                  <c:v>2.1553360374650619</c:v>
                </c:pt>
                <c:pt idx="196">
                  <c:v>2.2405492482825999</c:v>
                </c:pt>
                <c:pt idx="197">
                  <c:v>2.2227164711475833</c:v>
                </c:pt>
                <c:pt idx="198">
                  <c:v>2.1958996524092336</c:v>
                </c:pt>
                <c:pt idx="199">
                  <c:v>2.173186268412274</c:v>
                </c:pt>
                <c:pt idx="200">
                  <c:v>2.2068258760318495</c:v>
                </c:pt>
                <c:pt idx="201">
                  <c:v>2.2455126678141499</c:v>
                </c:pt>
                <c:pt idx="202">
                  <c:v>2.1846914308175989</c:v>
                </c:pt>
                <c:pt idx="203">
                  <c:v>2.2695129442179165</c:v>
                </c:pt>
                <c:pt idx="204">
                  <c:v>2.2787536009528289</c:v>
                </c:pt>
                <c:pt idx="205">
                  <c:v>2.2922560713564759</c:v>
                </c:pt>
                <c:pt idx="206">
                  <c:v>2.2430380486862944</c:v>
                </c:pt>
                <c:pt idx="207">
                  <c:v>2.2068258760318495</c:v>
                </c:pt>
                <c:pt idx="208">
                  <c:v>2.271841606536499</c:v>
                </c:pt>
                <c:pt idx="209">
                  <c:v>2.2900346113625178</c:v>
                </c:pt>
                <c:pt idx="210">
                  <c:v>2.307496037913213</c:v>
                </c:pt>
                <c:pt idx="211">
                  <c:v>2.3053513694466239</c:v>
                </c:pt>
                <c:pt idx="212">
                  <c:v>2.2833012287035497</c:v>
                </c:pt>
                <c:pt idx="213">
                  <c:v>2.2900346113625178</c:v>
                </c:pt>
                <c:pt idx="214">
                  <c:v>2.2787536009528289</c:v>
                </c:pt>
                <c:pt idx="215">
                  <c:v>2.3053513694466239</c:v>
                </c:pt>
                <c:pt idx="216">
                  <c:v>2.3053513694466239</c:v>
                </c:pt>
                <c:pt idx="217">
                  <c:v>2.271841606536499</c:v>
                </c:pt>
                <c:pt idx="218">
                  <c:v>2.2253092817258628</c:v>
                </c:pt>
                <c:pt idx="219">
                  <c:v>2.2121876044039577</c:v>
                </c:pt>
                <c:pt idx="220">
                  <c:v>2.2528530309798933</c:v>
                </c:pt>
                <c:pt idx="221">
                  <c:v>2.1398790864012365</c:v>
                </c:pt>
                <c:pt idx="222">
                  <c:v>2.2405492482825999</c:v>
                </c:pt>
                <c:pt idx="223">
                  <c:v>2.2855573090077739</c:v>
                </c:pt>
                <c:pt idx="224">
                  <c:v>2.2278867046136734</c:v>
                </c:pt>
                <c:pt idx="225">
                  <c:v>2.1643528557844371</c:v>
                </c:pt>
                <c:pt idx="226">
                  <c:v>2.2174839442139063</c:v>
                </c:pt>
                <c:pt idx="227">
                  <c:v>2.2329961103921536</c:v>
                </c:pt>
                <c:pt idx="228">
                  <c:v>2.1986570869544226</c:v>
                </c:pt>
                <c:pt idx="229">
                  <c:v>2.2329961103921536</c:v>
                </c:pt>
                <c:pt idx="230">
                  <c:v>2.2278867046136734</c:v>
                </c:pt>
                <c:pt idx="231">
                  <c:v>2.1875207208364631</c:v>
                </c:pt>
                <c:pt idx="232">
                  <c:v>2.1846914308175989</c:v>
                </c:pt>
                <c:pt idx="233">
                  <c:v>2.2648178230095364</c:v>
                </c:pt>
                <c:pt idx="234">
                  <c:v>2.2121876044039577</c:v>
                </c:pt>
                <c:pt idx="235">
                  <c:v>2.167317334748176</c:v>
                </c:pt>
                <c:pt idx="236">
                  <c:v>2.1818435879447726</c:v>
                </c:pt>
                <c:pt idx="237">
                  <c:v>2.3443922736851106</c:v>
                </c:pt>
                <c:pt idx="238">
                  <c:v>2.2121876044039577</c:v>
                </c:pt>
                <c:pt idx="239">
                  <c:v>2.2405492482825999</c:v>
                </c:pt>
                <c:pt idx="240">
                  <c:v>2.143014800254095</c:v>
                </c:pt>
                <c:pt idx="241">
                  <c:v>2.2013971243204513</c:v>
                </c:pt>
                <c:pt idx="242">
                  <c:v>2.2174839442139063</c:v>
                </c:pt>
                <c:pt idx="243">
                  <c:v>2.2304489213782741</c:v>
                </c:pt>
                <c:pt idx="244">
                  <c:v>2.220108088040055</c:v>
                </c:pt>
                <c:pt idx="245">
                  <c:v>2.1931245983544616</c:v>
                </c:pt>
                <c:pt idx="246">
                  <c:v>2.1702617153949575</c:v>
                </c:pt>
                <c:pt idx="247">
                  <c:v>2.2695129442179165</c:v>
                </c:pt>
                <c:pt idx="248">
                  <c:v>2.1492191126553797</c:v>
                </c:pt>
                <c:pt idx="249">
                  <c:v>2.1818435879447726</c:v>
                </c:pt>
                <c:pt idx="250">
                  <c:v>2.2600713879850747</c:v>
                </c:pt>
                <c:pt idx="251">
                  <c:v>2.2227164711475833</c:v>
                </c:pt>
                <c:pt idx="252">
                  <c:v>2.214843848047698</c:v>
                </c:pt>
                <c:pt idx="253">
                  <c:v>2.1760912590556813</c:v>
                </c:pt>
                <c:pt idx="254">
                  <c:v>2.2528530309798933</c:v>
                </c:pt>
                <c:pt idx="255">
                  <c:v>2.1818435879447726</c:v>
                </c:pt>
                <c:pt idx="256">
                  <c:v>2.1760912590556813</c:v>
                </c:pt>
                <c:pt idx="257">
                  <c:v>2.2455126678141499</c:v>
                </c:pt>
                <c:pt idx="258">
                  <c:v>2.2764618041732443</c:v>
                </c:pt>
                <c:pt idx="259">
                  <c:v>2.220108088040055</c:v>
                </c:pt>
                <c:pt idx="260">
                  <c:v>2.255272505103306</c:v>
                </c:pt>
                <c:pt idx="261">
                  <c:v>2.2671717284030137</c:v>
                </c:pt>
                <c:pt idx="262">
                  <c:v>2.2253092817258628</c:v>
                </c:pt>
                <c:pt idx="263">
                  <c:v>2.2479732663618068</c:v>
                </c:pt>
                <c:pt idx="264">
                  <c:v>2.287801729930226</c:v>
                </c:pt>
                <c:pt idx="265">
                  <c:v>2.27415784926368</c:v>
                </c:pt>
                <c:pt idx="266">
                  <c:v>2.2855573090077739</c:v>
                </c:pt>
                <c:pt idx="267">
                  <c:v>2.2810333672477277</c:v>
                </c:pt>
                <c:pt idx="268">
                  <c:v>2.2787536009528289</c:v>
                </c:pt>
                <c:pt idx="269">
                  <c:v>2.2787536009528289</c:v>
                </c:pt>
                <c:pt idx="270">
                  <c:v>2.2855573090077739</c:v>
                </c:pt>
                <c:pt idx="271">
                  <c:v>2.4048337166199381</c:v>
                </c:pt>
                <c:pt idx="272">
                  <c:v>2.5198279937757189</c:v>
                </c:pt>
                <c:pt idx="273">
                  <c:v>2.6830470382388496</c:v>
                </c:pt>
                <c:pt idx="274">
                  <c:v>2.7118072290411912</c:v>
                </c:pt>
                <c:pt idx="275">
                  <c:v>2.5717088318086878</c:v>
                </c:pt>
                <c:pt idx="276">
                  <c:v>2.4899584794248346</c:v>
                </c:pt>
                <c:pt idx="277">
                  <c:v>2.3710678622717363</c:v>
                </c:pt>
                <c:pt idx="278">
                  <c:v>2.2833012287035497</c:v>
                </c:pt>
                <c:pt idx="279">
                  <c:v>2.2430380486862944</c:v>
                </c:pt>
                <c:pt idx="280">
                  <c:v>2.2278867046136734</c:v>
                </c:pt>
                <c:pt idx="281">
                  <c:v>2.1702617153949575</c:v>
                </c:pt>
                <c:pt idx="282">
                  <c:v>2.167317334748176</c:v>
                </c:pt>
                <c:pt idx="283">
                  <c:v>2.1553360374650619</c:v>
                </c:pt>
                <c:pt idx="284">
                  <c:v>2.173186268412274</c:v>
                </c:pt>
                <c:pt idx="285">
                  <c:v>2.2068258760318495</c:v>
                </c:pt>
                <c:pt idx="286">
                  <c:v>2.1492191126553797</c:v>
                </c:pt>
                <c:pt idx="287">
                  <c:v>2.1003705451175629</c:v>
                </c:pt>
                <c:pt idx="288">
                  <c:v>2.1461280356782382</c:v>
                </c:pt>
                <c:pt idx="289">
                  <c:v>2.2013971243204513</c:v>
                </c:pt>
                <c:pt idx="290">
                  <c:v>2.1303337684950061</c:v>
                </c:pt>
                <c:pt idx="291">
                  <c:v>2.1986570869544226</c:v>
                </c:pt>
                <c:pt idx="292">
                  <c:v>2.399673721481038</c:v>
                </c:pt>
                <c:pt idx="293">
                  <c:v>2.3117538610557542</c:v>
                </c:pt>
                <c:pt idx="294">
                  <c:v>2.1003705451175629</c:v>
                </c:pt>
                <c:pt idx="295">
                  <c:v>2.1903316981702914</c:v>
                </c:pt>
                <c:pt idx="296">
                  <c:v>2.1522883443830563</c:v>
                </c:pt>
                <c:pt idx="297">
                  <c:v>2.1760912590556813</c:v>
                </c:pt>
                <c:pt idx="298">
                  <c:v>2.1903316981702914</c:v>
                </c:pt>
                <c:pt idx="299">
                  <c:v>2.2041199826559246</c:v>
                </c:pt>
                <c:pt idx="300">
                  <c:v>2.2648178230095364</c:v>
                </c:pt>
                <c:pt idx="301">
                  <c:v>2.2504200023088941</c:v>
                </c:pt>
                <c:pt idx="302">
                  <c:v>2.3979400086720375</c:v>
                </c:pt>
                <c:pt idx="303">
                  <c:v>2.4996870826184039</c:v>
                </c:pt>
                <c:pt idx="304">
                  <c:v>2.5132176000679389</c:v>
                </c:pt>
                <c:pt idx="305">
                  <c:v>2.4683473304121573</c:v>
                </c:pt>
                <c:pt idx="306">
                  <c:v>2.4409090820652177</c:v>
                </c:pt>
                <c:pt idx="307">
                  <c:v>2.4183012913197452</c:v>
                </c:pt>
                <c:pt idx="308">
                  <c:v>2.27415784926368</c:v>
                </c:pt>
                <c:pt idx="309">
                  <c:v>2.3521825181113627</c:v>
                </c:pt>
                <c:pt idx="310">
                  <c:v>2.3053513694466239</c:v>
                </c:pt>
                <c:pt idx="311">
                  <c:v>2.2787536009528289</c:v>
                </c:pt>
                <c:pt idx="312">
                  <c:v>2.27415784926368</c:v>
                </c:pt>
                <c:pt idx="313">
                  <c:v>2.2430380486862944</c:v>
                </c:pt>
                <c:pt idx="314">
                  <c:v>2.1875207208364631</c:v>
                </c:pt>
                <c:pt idx="315">
                  <c:v>2.2253092817258628</c:v>
                </c:pt>
                <c:pt idx="316">
                  <c:v>2.2833012287035497</c:v>
                </c:pt>
                <c:pt idx="317">
                  <c:v>2.2278867046136734</c:v>
                </c:pt>
                <c:pt idx="318">
                  <c:v>2.2329961103921536</c:v>
                </c:pt>
                <c:pt idx="319">
                  <c:v>2.2174839442139063</c:v>
                </c:pt>
                <c:pt idx="320">
                  <c:v>2.2068258760318495</c:v>
                </c:pt>
                <c:pt idx="321">
                  <c:v>2.2504200023088941</c:v>
                </c:pt>
                <c:pt idx="322">
                  <c:v>2.220108088040055</c:v>
                </c:pt>
                <c:pt idx="323">
                  <c:v>2.2405492482825999</c:v>
                </c:pt>
                <c:pt idx="324">
                  <c:v>2.1903316981702914</c:v>
                </c:pt>
                <c:pt idx="325">
                  <c:v>2.2764618041732443</c:v>
                </c:pt>
                <c:pt idx="326">
                  <c:v>2.2648178230095364</c:v>
                </c:pt>
                <c:pt idx="327">
                  <c:v>2.27415784926368</c:v>
                </c:pt>
                <c:pt idx="328">
                  <c:v>2.2355284469075487</c:v>
                </c:pt>
                <c:pt idx="329">
                  <c:v>2.2671717284030137</c:v>
                </c:pt>
                <c:pt idx="330">
                  <c:v>2.3483048630481607</c:v>
                </c:pt>
                <c:pt idx="331">
                  <c:v>2.1760912590556813</c:v>
                </c:pt>
                <c:pt idx="332">
                  <c:v>2.2013971243204513</c:v>
                </c:pt>
                <c:pt idx="333">
                  <c:v>2.2121876044039577</c:v>
                </c:pt>
                <c:pt idx="334">
                  <c:v>2.2174839442139063</c:v>
                </c:pt>
                <c:pt idx="335">
                  <c:v>2.173186268412274</c:v>
                </c:pt>
                <c:pt idx="336">
                  <c:v>2.2430380486862944</c:v>
                </c:pt>
                <c:pt idx="337">
                  <c:v>2.1583624920952498</c:v>
                </c:pt>
                <c:pt idx="338">
                  <c:v>2.1846914308175989</c:v>
                </c:pt>
                <c:pt idx="339">
                  <c:v>2.1271047983648077</c:v>
                </c:pt>
                <c:pt idx="340">
                  <c:v>2.1367205671564067</c:v>
                </c:pt>
                <c:pt idx="341">
                  <c:v>2.1903316981702914</c:v>
                </c:pt>
                <c:pt idx="342">
                  <c:v>2.1643528557844371</c:v>
                </c:pt>
                <c:pt idx="343">
                  <c:v>2.2013971243204513</c:v>
                </c:pt>
                <c:pt idx="344">
                  <c:v>2.1958996524092336</c:v>
                </c:pt>
                <c:pt idx="345">
                  <c:v>2.1789769472931693</c:v>
                </c:pt>
                <c:pt idx="346">
                  <c:v>2.1846914308175989</c:v>
                </c:pt>
                <c:pt idx="347">
                  <c:v>2.173186268412274</c:v>
                </c:pt>
                <c:pt idx="348">
                  <c:v>2.2121876044039577</c:v>
                </c:pt>
                <c:pt idx="349">
                  <c:v>2.1958996524092336</c:v>
                </c:pt>
                <c:pt idx="350">
                  <c:v>2.1760912590556813</c:v>
                </c:pt>
                <c:pt idx="351">
                  <c:v>2.2174839442139063</c:v>
                </c:pt>
                <c:pt idx="352">
                  <c:v>2.2329961103921536</c:v>
                </c:pt>
                <c:pt idx="353">
                  <c:v>2.255272505103306</c:v>
                </c:pt>
                <c:pt idx="354">
                  <c:v>2.2624510897304293</c:v>
                </c:pt>
                <c:pt idx="355">
                  <c:v>2.2900346113625178</c:v>
                </c:pt>
                <c:pt idx="356">
                  <c:v>2.2405492482825999</c:v>
                </c:pt>
                <c:pt idx="357">
                  <c:v>2.271841606536499</c:v>
                </c:pt>
                <c:pt idx="358">
                  <c:v>2.2944662261615929</c:v>
                </c:pt>
                <c:pt idx="359">
                  <c:v>2.2576785748691846</c:v>
                </c:pt>
                <c:pt idx="360">
                  <c:v>2.2787536009528289</c:v>
                </c:pt>
                <c:pt idx="361">
                  <c:v>2.2600713879850747</c:v>
                </c:pt>
                <c:pt idx="362">
                  <c:v>2.2764618041732443</c:v>
                </c:pt>
                <c:pt idx="363">
                  <c:v>2.2988530764097068</c:v>
                </c:pt>
                <c:pt idx="364">
                  <c:v>2.307496037913213</c:v>
                </c:pt>
                <c:pt idx="365">
                  <c:v>2.307496037913213</c:v>
                </c:pt>
                <c:pt idx="366">
                  <c:v>2.2355284469075487</c:v>
                </c:pt>
                <c:pt idx="367">
                  <c:v>2.3159703454569178</c:v>
                </c:pt>
                <c:pt idx="368">
                  <c:v>2.330413773349191</c:v>
                </c:pt>
                <c:pt idx="369">
                  <c:v>2.3483048630481607</c:v>
                </c:pt>
                <c:pt idx="370">
                  <c:v>2.3201462861110542</c:v>
                </c:pt>
                <c:pt idx="371">
                  <c:v>2.214843848047698</c:v>
                </c:pt>
                <c:pt idx="372">
                  <c:v>2.1818435879447726</c:v>
                </c:pt>
                <c:pt idx="373">
                  <c:v>2.1335389083702174</c:v>
                </c:pt>
                <c:pt idx="374">
                  <c:v>2.3117538610557542</c:v>
                </c:pt>
                <c:pt idx="375">
                  <c:v>2.27415784926368</c:v>
                </c:pt>
                <c:pt idx="376">
                  <c:v>2.2095150145426308</c:v>
                </c:pt>
                <c:pt idx="377">
                  <c:v>2.2504200023088941</c:v>
                </c:pt>
                <c:pt idx="378">
                  <c:v>2.2455126678141499</c:v>
                </c:pt>
                <c:pt idx="379">
                  <c:v>2.2855573090077739</c:v>
                </c:pt>
                <c:pt idx="380">
                  <c:v>2.2528530309798933</c:v>
                </c:pt>
                <c:pt idx="381">
                  <c:v>2.173186268412274</c:v>
                </c:pt>
                <c:pt idx="382">
                  <c:v>2.2278867046136734</c:v>
                </c:pt>
                <c:pt idx="383">
                  <c:v>2.1522883443830563</c:v>
                </c:pt>
                <c:pt idx="384">
                  <c:v>2.2068258760318495</c:v>
                </c:pt>
                <c:pt idx="385">
                  <c:v>2.1702617153949575</c:v>
                </c:pt>
                <c:pt idx="386">
                  <c:v>2.167317334748176</c:v>
                </c:pt>
                <c:pt idx="387">
                  <c:v>2.173186268412274</c:v>
                </c:pt>
                <c:pt idx="388">
                  <c:v>2.2253092817258628</c:v>
                </c:pt>
                <c:pt idx="389">
                  <c:v>2.2174839442139063</c:v>
                </c:pt>
                <c:pt idx="390">
                  <c:v>2.1846914308175989</c:v>
                </c:pt>
                <c:pt idx="391">
                  <c:v>2.1789769472931693</c:v>
                </c:pt>
                <c:pt idx="392">
                  <c:v>2.1461280356782382</c:v>
                </c:pt>
                <c:pt idx="393">
                  <c:v>2.2988530764097068</c:v>
                </c:pt>
                <c:pt idx="394">
                  <c:v>2.2253092817258628</c:v>
                </c:pt>
                <c:pt idx="395">
                  <c:v>2.2068258760318495</c:v>
                </c:pt>
                <c:pt idx="396">
                  <c:v>2.2479732663618068</c:v>
                </c:pt>
                <c:pt idx="397">
                  <c:v>2.173186268412274</c:v>
                </c:pt>
                <c:pt idx="398">
                  <c:v>2.214843848047698</c:v>
                </c:pt>
                <c:pt idx="399">
                  <c:v>2.1398790864012365</c:v>
                </c:pt>
                <c:pt idx="400">
                  <c:v>2.2304489213782741</c:v>
                </c:pt>
                <c:pt idx="401">
                  <c:v>2.1553360374650619</c:v>
                </c:pt>
                <c:pt idx="402">
                  <c:v>2.1303337684950061</c:v>
                </c:pt>
                <c:pt idx="403">
                  <c:v>2.1760912590556813</c:v>
                </c:pt>
                <c:pt idx="404">
                  <c:v>2.255272505103306</c:v>
                </c:pt>
                <c:pt idx="405">
                  <c:v>2.1789769472931693</c:v>
                </c:pt>
                <c:pt idx="406">
                  <c:v>2.2304489213782741</c:v>
                </c:pt>
                <c:pt idx="407">
                  <c:v>2.2695129442179165</c:v>
                </c:pt>
                <c:pt idx="408">
                  <c:v>2.220108088040055</c:v>
                </c:pt>
                <c:pt idx="409">
                  <c:v>2.2174839442139063</c:v>
                </c:pt>
                <c:pt idx="410">
                  <c:v>2.1583624920952498</c:v>
                </c:pt>
                <c:pt idx="411">
                  <c:v>2.2671717284030137</c:v>
                </c:pt>
                <c:pt idx="412">
                  <c:v>2.2304489213782741</c:v>
                </c:pt>
                <c:pt idx="413">
                  <c:v>2.1875207208364631</c:v>
                </c:pt>
                <c:pt idx="414">
                  <c:v>2.3263358609287512</c:v>
                </c:pt>
                <c:pt idx="415">
                  <c:v>2.369215857410143</c:v>
                </c:pt>
                <c:pt idx="416">
                  <c:v>2.3364597338485296</c:v>
                </c:pt>
                <c:pt idx="417">
                  <c:v>2.3263358609287512</c:v>
                </c:pt>
                <c:pt idx="418">
                  <c:v>2.3502480183341627</c:v>
                </c:pt>
                <c:pt idx="419">
                  <c:v>2.2329961103921536</c:v>
                </c:pt>
                <c:pt idx="420">
                  <c:v>2.2013971243204513</c:v>
                </c:pt>
                <c:pt idx="421">
                  <c:v>2.2671717284030137</c:v>
                </c:pt>
                <c:pt idx="422">
                  <c:v>2.271841606536499</c:v>
                </c:pt>
                <c:pt idx="423">
                  <c:v>2.2253092817258628</c:v>
                </c:pt>
                <c:pt idx="424">
                  <c:v>2.2013971243204513</c:v>
                </c:pt>
                <c:pt idx="425">
                  <c:v>2.220108088040055</c:v>
                </c:pt>
                <c:pt idx="426">
                  <c:v>2.2304489213782741</c:v>
                </c:pt>
                <c:pt idx="427">
                  <c:v>2.214843848047698</c:v>
                </c:pt>
                <c:pt idx="428">
                  <c:v>2.1789769472931693</c:v>
                </c:pt>
                <c:pt idx="429">
                  <c:v>2.2504200023088941</c:v>
                </c:pt>
                <c:pt idx="430">
                  <c:v>2.220108088040055</c:v>
                </c:pt>
                <c:pt idx="431">
                  <c:v>2.2304489213782741</c:v>
                </c:pt>
                <c:pt idx="432">
                  <c:v>2.1986570869544226</c:v>
                </c:pt>
                <c:pt idx="433">
                  <c:v>2.2227164711475833</c:v>
                </c:pt>
                <c:pt idx="434">
                  <c:v>2.173186268412274</c:v>
                </c:pt>
                <c:pt idx="435">
                  <c:v>2.2405492482825999</c:v>
                </c:pt>
                <c:pt idx="436">
                  <c:v>2.1986570869544226</c:v>
                </c:pt>
                <c:pt idx="437">
                  <c:v>2.1271047983648077</c:v>
                </c:pt>
                <c:pt idx="438">
                  <c:v>2.1760912590556813</c:v>
                </c:pt>
                <c:pt idx="439">
                  <c:v>2.214843848047698</c:v>
                </c:pt>
                <c:pt idx="440">
                  <c:v>2.2528530309798933</c:v>
                </c:pt>
                <c:pt idx="441">
                  <c:v>2.0791812460476247</c:v>
                </c:pt>
                <c:pt idx="442">
                  <c:v>2.2095150145426308</c:v>
                </c:pt>
                <c:pt idx="443">
                  <c:v>2.1789769472931693</c:v>
                </c:pt>
                <c:pt idx="444">
                  <c:v>2.1760912590556813</c:v>
                </c:pt>
                <c:pt idx="445">
                  <c:v>2.1522883443830563</c:v>
                </c:pt>
                <c:pt idx="446">
                  <c:v>2.1398790864012365</c:v>
                </c:pt>
                <c:pt idx="447">
                  <c:v>2.1583624920952498</c:v>
                </c:pt>
                <c:pt idx="448">
                  <c:v>2.1492191126553797</c:v>
                </c:pt>
                <c:pt idx="449">
                  <c:v>2.167317334748176</c:v>
                </c:pt>
                <c:pt idx="450">
                  <c:v>2.2095150145426308</c:v>
                </c:pt>
                <c:pt idx="451">
                  <c:v>2.1958996524092336</c:v>
                </c:pt>
                <c:pt idx="452">
                  <c:v>2.1846914308175989</c:v>
                </c:pt>
                <c:pt idx="453">
                  <c:v>2.1986570869544226</c:v>
                </c:pt>
                <c:pt idx="454">
                  <c:v>2.167317334748176</c:v>
                </c:pt>
                <c:pt idx="455">
                  <c:v>2.2174839442139063</c:v>
                </c:pt>
                <c:pt idx="456">
                  <c:v>2.2430380486862944</c:v>
                </c:pt>
                <c:pt idx="457">
                  <c:v>2.1903316981702914</c:v>
                </c:pt>
                <c:pt idx="458">
                  <c:v>2.2430380486862944</c:v>
                </c:pt>
                <c:pt idx="459">
                  <c:v>2.2455126678141499</c:v>
                </c:pt>
                <c:pt idx="460">
                  <c:v>2.2013971243204513</c:v>
                </c:pt>
                <c:pt idx="461">
                  <c:v>2.2304489213782741</c:v>
                </c:pt>
                <c:pt idx="462">
                  <c:v>2.2671717284030137</c:v>
                </c:pt>
                <c:pt idx="463">
                  <c:v>2.1760912590556813</c:v>
                </c:pt>
                <c:pt idx="464">
                  <c:v>2.2695129442179165</c:v>
                </c:pt>
                <c:pt idx="465">
                  <c:v>2.3201462861110542</c:v>
                </c:pt>
                <c:pt idx="466">
                  <c:v>2.2988530764097068</c:v>
                </c:pt>
                <c:pt idx="467">
                  <c:v>2.3053513694466239</c:v>
                </c:pt>
                <c:pt idx="468">
                  <c:v>2.2966651902615309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C-4B1A-895C-7A6D087CBBEB}"/>
            </c:ext>
          </c:extLst>
        </c:ser>
        <c:ser>
          <c:idx val="1"/>
          <c:order val="1"/>
          <c:tx>
            <c:strRef>
              <c:f>'excess mortality linear model'!$H$1</c:f>
              <c:strCache>
                <c:ptCount val="1"/>
                <c:pt idx="0">
                  <c:v>Model 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'excess mortality linear model'!$A$2:$A$470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'excess mortality linear model'!$H$2:$H$470</c:f>
              <c:numCache>
                <c:formatCode>General</c:formatCode>
                <c:ptCount val="469"/>
                <c:pt idx="0">
                  <c:v>2.2571629630275569</c:v>
                </c:pt>
                <c:pt idx="1">
                  <c:v>2.2610692371902217</c:v>
                </c:pt>
                <c:pt idx="2">
                  <c:v>2.2645429761685718</c:v>
                </c:pt>
                <c:pt idx="3">
                  <c:v>2.2675335250261255</c:v>
                </c:pt>
                <c:pt idx="4">
                  <c:v>2.2699972748264079</c:v>
                </c:pt>
                <c:pt idx="5">
                  <c:v>2.2718982985494516</c:v>
                </c:pt>
                <c:pt idx="6">
                  <c:v>2.2732088749886397</c:v>
                </c:pt>
                <c:pt idx="7">
                  <c:v>2.2739098929883297</c:v>
                </c:pt>
                <c:pt idx="8">
                  <c:v>2.2739911301275306</c:v>
                </c:pt>
                <c:pt idx="9">
                  <c:v>2.2734514017858221</c:v>
                </c:pt>
                <c:pt idx="10">
                  <c:v>2.2722985784177894</c:v>
                </c:pt>
                <c:pt idx="11">
                  <c:v>2.2705494707840699</c:v>
                </c:pt>
                <c:pt idx="12">
                  <c:v>2.2682295848126106</c:v>
                </c:pt>
                <c:pt idx="13">
                  <c:v>2.2653727496648046</c:v>
                </c:pt>
                <c:pt idx="14">
                  <c:v>2.2620206244301384</c:v>
                </c:pt>
                <c:pt idx="15">
                  <c:v>2.2582220906428629</c:v>
                </c:pt>
                <c:pt idx="16">
                  <c:v>2.2540325394791489</c:v>
                </c:pt>
                <c:pt idx="17">
                  <c:v>2.2495130640290113</c:v>
                </c:pt>
                <c:pt idx="18">
                  <c:v>2.2447295684214863</c:v>
                </c:pt>
                <c:pt idx="19">
                  <c:v>2.2397518067940241</c:v>
                </c:pt>
                <c:pt idx="20">
                  <c:v>2.2346523661200974</c:v>
                </c:pt>
                <c:pt idx="21">
                  <c:v>2.2295056077276718</c:v>
                </c:pt>
                <c:pt idx="22">
                  <c:v>2.2243865829435996</c:v>
                </c:pt>
                <c:pt idx="23">
                  <c:v>2.2193699386762726</c:v>
                </c:pt>
                <c:pt idx="24">
                  <c:v>2.2145288288956073</c:v>
                </c:pt>
                <c:pt idx="25">
                  <c:v>2.2099338478834358</c:v>
                </c:pt>
                <c:pt idx="26">
                  <c:v>2.2056520008099114</c:v>
                </c:pt>
                <c:pt idx="27">
                  <c:v>2.2017457266472467</c:v>
                </c:pt>
                <c:pt idx="28">
                  <c:v>2.1982719876688965</c:v>
                </c:pt>
                <c:pt idx="29">
                  <c:v>2.1952814388113429</c:v>
                </c:pt>
                <c:pt idx="30">
                  <c:v>2.1928176890110604</c:v>
                </c:pt>
                <c:pt idx="31">
                  <c:v>2.1909166652880168</c:v>
                </c:pt>
                <c:pt idx="32">
                  <c:v>2.1896060888488287</c:v>
                </c:pt>
                <c:pt idx="33">
                  <c:v>2.1889050708491387</c:v>
                </c:pt>
                <c:pt idx="34">
                  <c:v>2.1888238337099377</c:v>
                </c:pt>
                <c:pt idx="35">
                  <c:v>2.1893635620516463</c:v>
                </c:pt>
                <c:pt idx="36">
                  <c:v>2.190516385419679</c:v>
                </c:pt>
                <c:pt idx="37">
                  <c:v>2.1922654930533985</c:v>
                </c:pt>
                <c:pt idx="38">
                  <c:v>2.1945853790248577</c:v>
                </c:pt>
                <c:pt idx="39">
                  <c:v>2.1974422141726637</c:v>
                </c:pt>
                <c:pt idx="40">
                  <c:v>2.2007943394073299</c:v>
                </c:pt>
                <c:pt idx="41">
                  <c:v>2.2045928731946054</c:v>
                </c:pt>
                <c:pt idx="42">
                  <c:v>2.2087824243583194</c:v>
                </c:pt>
                <c:pt idx="43">
                  <c:v>2.2133018998084566</c:v>
                </c:pt>
                <c:pt idx="44">
                  <c:v>2.2180853954159825</c:v>
                </c:pt>
                <c:pt idx="45">
                  <c:v>2.2230631570434438</c:v>
                </c:pt>
                <c:pt idx="46">
                  <c:v>2.2281625977173709</c:v>
                </c:pt>
                <c:pt idx="47">
                  <c:v>2.2333093561097965</c:v>
                </c:pt>
                <c:pt idx="48">
                  <c:v>2.2384283808938688</c:v>
                </c:pt>
                <c:pt idx="49">
                  <c:v>2.2434450251611957</c:v>
                </c:pt>
                <c:pt idx="50">
                  <c:v>2.248286134941861</c:v>
                </c:pt>
                <c:pt idx="51">
                  <c:v>2.2528811159540325</c:v>
                </c:pt>
                <c:pt idx="52">
                  <c:v>2.2571629630275569</c:v>
                </c:pt>
                <c:pt idx="53">
                  <c:v>2.2610692371902217</c:v>
                </c:pt>
                <c:pt idx="54">
                  <c:v>2.2645429761685718</c:v>
                </c:pt>
                <c:pt idx="55">
                  <c:v>2.2675335250261255</c:v>
                </c:pt>
                <c:pt idx="56">
                  <c:v>2.2699972748264079</c:v>
                </c:pt>
                <c:pt idx="57">
                  <c:v>2.2718982985494516</c:v>
                </c:pt>
                <c:pt idx="58">
                  <c:v>2.2732088749886397</c:v>
                </c:pt>
                <c:pt idx="59">
                  <c:v>2.2739098929883297</c:v>
                </c:pt>
                <c:pt idx="60">
                  <c:v>2.2739911301275306</c:v>
                </c:pt>
                <c:pt idx="61">
                  <c:v>2.2734514017858221</c:v>
                </c:pt>
                <c:pt idx="62">
                  <c:v>2.2722985784177894</c:v>
                </c:pt>
                <c:pt idx="63">
                  <c:v>2.2705494707840699</c:v>
                </c:pt>
                <c:pt idx="64">
                  <c:v>2.2682295848126106</c:v>
                </c:pt>
                <c:pt idx="65">
                  <c:v>2.2653727496648046</c:v>
                </c:pt>
                <c:pt idx="66">
                  <c:v>2.2620206244301384</c:v>
                </c:pt>
                <c:pt idx="67">
                  <c:v>2.2582220906428629</c:v>
                </c:pt>
                <c:pt idx="68">
                  <c:v>2.2540325394791489</c:v>
                </c:pt>
                <c:pt idx="69">
                  <c:v>2.2495130640290117</c:v>
                </c:pt>
                <c:pt idx="70">
                  <c:v>2.2447295684214863</c:v>
                </c:pt>
                <c:pt idx="71">
                  <c:v>2.2397518067940245</c:v>
                </c:pt>
                <c:pt idx="72">
                  <c:v>2.2346523661200974</c:v>
                </c:pt>
                <c:pt idx="73">
                  <c:v>2.2295056077276718</c:v>
                </c:pt>
                <c:pt idx="74">
                  <c:v>2.2243865829435996</c:v>
                </c:pt>
                <c:pt idx="75">
                  <c:v>2.2193699386762726</c:v>
                </c:pt>
                <c:pt idx="76">
                  <c:v>2.2145288288956073</c:v>
                </c:pt>
                <c:pt idx="77">
                  <c:v>2.2099338478834358</c:v>
                </c:pt>
                <c:pt idx="78">
                  <c:v>2.2056520008099114</c:v>
                </c:pt>
                <c:pt idx="79">
                  <c:v>2.2017457266472467</c:v>
                </c:pt>
                <c:pt idx="80">
                  <c:v>2.1982719876688965</c:v>
                </c:pt>
                <c:pt idx="81">
                  <c:v>2.1952814388113429</c:v>
                </c:pt>
                <c:pt idx="82">
                  <c:v>2.1928176890110604</c:v>
                </c:pt>
                <c:pt idx="83">
                  <c:v>2.1909166652880168</c:v>
                </c:pt>
                <c:pt idx="84">
                  <c:v>2.1896060888488287</c:v>
                </c:pt>
                <c:pt idx="85">
                  <c:v>2.1889050708491387</c:v>
                </c:pt>
                <c:pt idx="86">
                  <c:v>2.1888238337099377</c:v>
                </c:pt>
                <c:pt idx="87">
                  <c:v>2.1893635620516463</c:v>
                </c:pt>
                <c:pt idx="88">
                  <c:v>2.190516385419679</c:v>
                </c:pt>
                <c:pt idx="89">
                  <c:v>2.1922654930533985</c:v>
                </c:pt>
                <c:pt idx="90">
                  <c:v>2.1945853790248577</c:v>
                </c:pt>
                <c:pt idx="91">
                  <c:v>2.1974422141726637</c:v>
                </c:pt>
                <c:pt idx="92">
                  <c:v>2.2007943394073299</c:v>
                </c:pt>
                <c:pt idx="93">
                  <c:v>2.2045928731946054</c:v>
                </c:pt>
                <c:pt idx="94">
                  <c:v>2.2087824243583194</c:v>
                </c:pt>
                <c:pt idx="95">
                  <c:v>2.213301899808457</c:v>
                </c:pt>
                <c:pt idx="96">
                  <c:v>2.218085395415982</c:v>
                </c:pt>
                <c:pt idx="97">
                  <c:v>2.2230631570434438</c:v>
                </c:pt>
                <c:pt idx="98">
                  <c:v>2.2281625977173709</c:v>
                </c:pt>
                <c:pt idx="99">
                  <c:v>2.2333093561097965</c:v>
                </c:pt>
                <c:pt idx="100">
                  <c:v>2.2384283808938688</c:v>
                </c:pt>
                <c:pt idx="101">
                  <c:v>2.2434450251611957</c:v>
                </c:pt>
                <c:pt idx="102">
                  <c:v>2.248286134941861</c:v>
                </c:pt>
                <c:pt idx="103">
                  <c:v>2.2528811159540325</c:v>
                </c:pt>
                <c:pt idx="104">
                  <c:v>2.2571629630275569</c:v>
                </c:pt>
                <c:pt idx="105">
                  <c:v>2.2610692371902217</c:v>
                </c:pt>
                <c:pt idx="106">
                  <c:v>2.2645429761685718</c:v>
                </c:pt>
                <c:pt idx="107">
                  <c:v>2.2675335250261255</c:v>
                </c:pt>
                <c:pt idx="108">
                  <c:v>2.2699972748264079</c:v>
                </c:pt>
                <c:pt idx="109">
                  <c:v>2.2718982985494516</c:v>
                </c:pt>
                <c:pt idx="110">
                  <c:v>2.2732088749886397</c:v>
                </c:pt>
                <c:pt idx="111">
                  <c:v>2.2739098929883297</c:v>
                </c:pt>
                <c:pt idx="112">
                  <c:v>2.2739911301275306</c:v>
                </c:pt>
                <c:pt idx="113">
                  <c:v>2.2734514017858221</c:v>
                </c:pt>
                <c:pt idx="114">
                  <c:v>2.2722985784177894</c:v>
                </c:pt>
                <c:pt idx="115">
                  <c:v>2.2705494707840699</c:v>
                </c:pt>
                <c:pt idx="116">
                  <c:v>2.2682295848126106</c:v>
                </c:pt>
                <c:pt idx="117">
                  <c:v>2.2653727496648046</c:v>
                </c:pt>
                <c:pt idx="118">
                  <c:v>2.2620206244301384</c:v>
                </c:pt>
                <c:pt idx="119">
                  <c:v>2.2582220906428629</c:v>
                </c:pt>
                <c:pt idx="120">
                  <c:v>2.2540325394791489</c:v>
                </c:pt>
                <c:pt idx="121">
                  <c:v>2.2495130640290113</c:v>
                </c:pt>
                <c:pt idx="122">
                  <c:v>2.2447295684214863</c:v>
                </c:pt>
                <c:pt idx="123">
                  <c:v>2.2397518067940245</c:v>
                </c:pt>
                <c:pt idx="124">
                  <c:v>2.2346523661200974</c:v>
                </c:pt>
                <c:pt idx="125">
                  <c:v>2.2295056077276718</c:v>
                </c:pt>
                <c:pt idx="126">
                  <c:v>2.2243865829435996</c:v>
                </c:pt>
                <c:pt idx="127">
                  <c:v>2.2193699386762726</c:v>
                </c:pt>
                <c:pt idx="128">
                  <c:v>2.2145288288956073</c:v>
                </c:pt>
                <c:pt idx="129">
                  <c:v>2.2099338478834358</c:v>
                </c:pt>
                <c:pt idx="130">
                  <c:v>2.2056520008099114</c:v>
                </c:pt>
                <c:pt idx="131">
                  <c:v>2.2017457266472467</c:v>
                </c:pt>
                <c:pt idx="132">
                  <c:v>2.1982719876688965</c:v>
                </c:pt>
                <c:pt idx="133">
                  <c:v>2.1952814388113429</c:v>
                </c:pt>
                <c:pt idx="134">
                  <c:v>2.1928176890110604</c:v>
                </c:pt>
                <c:pt idx="135">
                  <c:v>2.1909166652880168</c:v>
                </c:pt>
                <c:pt idx="136">
                  <c:v>2.1896060888488282</c:v>
                </c:pt>
                <c:pt idx="137">
                  <c:v>2.1889050708491387</c:v>
                </c:pt>
                <c:pt idx="138">
                  <c:v>2.1888238337099377</c:v>
                </c:pt>
                <c:pt idx="139">
                  <c:v>2.1893635620516463</c:v>
                </c:pt>
                <c:pt idx="140">
                  <c:v>2.190516385419679</c:v>
                </c:pt>
                <c:pt idx="141">
                  <c:v>2.1922654930533985</c:v>
                </c:pt>
                <c:pt idx="142">
                  <c:v>2.1945853790248577</c:v>
                </c:pt>
                <c:pt idx="143">
                  <c:v>2.1974422141726637</c:v>
                </c:pt>
                <c:pt idx="144">
                  <c:v>2.2007943394073299</c:v>
                </c:pt>
                <c:pt idx="145">
                  <c:v>2.2045928731946054</c:v>
                </c:pt>
                <c:pt idx="146">
                  <c:v>2.2087824243583194</c:v>
                </c:pt>
                <c:pt idx="147">
                  <c:v>2.213301899808457</c:v>
                </c:pt>
                <c:pt idx="148">
                  <c:v>2.218085395415982</c:v>
                </c:pt>
                <c:pt idx="149">
                  <c:v>2.2230631570434438</c:v>
                </c:pt>
                <c:pt idx="150">
                  <c:v>2.2281625977173709</c:v>
                </c:pt>
                <c:pt idx="151">
                  <c:v>2.2333093561097965</c:v>
                </c:pt>
                <c:pt idx="152">
                  <c:v>2.2384283808938683</c:v>
                </c:pt>
                <c:pt idx="153">
                  <c:v>2.2434450251611957</c:v>
                </c:pt>
                <c:pt idx="154">
                  <c:v>2.248286134941861</c:v>
                </c:pt>
                <c:pt idx="155">
                  <c:v>2.2528811159540325</c:v>
                </c:pt>
                <c:pt idx="156">
                  <c:v>2.2571629630275565</c:v>
                </c:pt>
                <c:pt idx="157">
                  <c:v>2.2610692371902217</c:v>
                </c:pt>
                <c:pt idx="158">
                  <c:v>2.2645429761685718</c:v>
                </c:pt>
                <c:pt idx="159">
                  <c:v>2.2675335250261255</c:v>
                </c:pt>
                <c:pt idx="160">
                  <c:v>2.2699972748264079</c:v>
                </c:pt>
                <c:pt idx="161">
                  <c:v>2.2718982985494516</c:v>
                </c:pt>
                <c:pt idx="162">
                  <c:v>2.2732088749886397</c:v>
                </c:pt>
                <c:pt idx="163">
                  <c:v>2.2739098929883297</c:v>
                </c:pt>
                <c:pt idx="164">
                  <c:v>2.2739911301275306</c:v>
                </c:pt>
                <c:pt idx="165">
                  <c:v>2.2734514017858221</c:v>
                </c:pt>
                <c:pt idx="166">
                  <c:v>2.2722985784177894</c:v>
                </c:pt>
                <c:pt idx="167">
                  <c:v>2.2705494707840699</c:v>
                </c:pt>
                <c:pt idx="168">
                  <c:v>2.2682295848126106</c:v>
                </c:pt>
                <c:pt idx="169">
                  <c:v>2.2653727496648046</c:v>
                </c:pt>
                <c:pt idx="170">
                  <c:v>2.2620206244301384</c:v>
                </c:pt>
                <c:pt idx="171">
                  <c:v>2.2582220906428629</c:v>
                </c:pt>
                <c:pt idx="172">
                  <c:v>2.2540325394791489</c:v>
                </c:pt>
                <c:pt idx="173">
                  <c:v>2.2495130640290117</c:v>
                </c:pt>
                <c:pt idx="174">
                  <c:v>2.2447295684214863</c:v>
                </c:pt>
                <c:pt idx="175">
                  <c:v>2.2397518067940245</c:v>
                </c:pt>
                <c:pt idx="176">
                  <c:v>2.2346523661200974</c:v>
                </c:pt>
                <c:pt idx="177">
                  <c:v>2.2295056077276718</c:v>
                </c:pt>
                <c:pt idx="178">
                  <c:v>2.2243865829436</c:v>
                </c:pt>
                <c:pt idx="179">
                  <c:v>2.2193699386762726</c:v>
                </c:pt>
                <c:pt idx="180">
                  <c:v>2.2145288288956073</c:v>
                </c:pt>
                <c:pt idx="181">
                  <c:v>2.2099338478834358</c:v>
                </c:pt>
                <c:pt idx="182">
                  <c:v>2.2056520008099119</c:v>
                </c:pt>
                <c:pt idx="183">
                  <c:v>2.2017457266472467</c:v>
                </c:pt>
                <c:pt idx="184">
                  <c:v>2.1982719876688965</c:v>
                </c:pt>
                <c:pt idx="185">
                  <c:v>2.1952814388113433</c:v>
                </c:pt>
                <c:pt idx="186">
                  <c:v>2.1928176890110604</c:v>
                </c:pt>
                <c:pt idx="187">
                  <c:v>2.1909166652880168</c:v>
                </c:pt>
                <c:pt idx="188">
                  <c:v>2.1896060888488282</c:v>
                </c:pt>
                <c:pt idx="189">
                  <c:v>2.1889050708491387</c:v>
                </c:pt>
                <c:pt idx="190">
                  <c:v>2.1888238337099377</c:v>
                </c:pt>
                <c:pt idx="191">
                  <c:v>2.1893635620516463</c:v>
                </c:pt>
                <c:pt idx="192">
                  <c:v>2.190516385419679</c:v>
                </c:pt>
                <c:pt idx="193">
                  <c:v>2.1922654930533985</c:v>
                </c:pt>
                <c:pt idx="194">
                  <c:v>2.1945853790248577</c:v>
                </c:pt>
                <c:pt idx="195">
                  <c:v>2.1974422141726637</c:v>
                </c:pt>
                <c:pt idx="196">
                  <c:v>2.2007943394073295</c:v>
                </c:pt>
                <c:pt idx="197">
                  <c:v>2.2045928731946054</c:v>
                </c:pt>
                <c:pt idx="198">
                  <c:v>2.2087824243583194</c:v>
                </c:pt>
                <c:pt idx="199">
                  <c:v>2.213301899808457</c:v>
                </c:pt>
                <c:pt idx="200">
                  <c:v>2.2180853954159825</c:v>
                </c:pt>
                <c:pt idx="201">
                  <c:v>2.2230631570434438</c:v>
                </c:pt>
                <c:pt idx="202">
                  <c:v>2.2281625977173709</c:v>
                </c:pt>
                <c:pt idx="203">
                  <c:v>2.2333093561097965</c:v>
                </c:pt>
                <c:pt idx="204">
                  <c:v>2.2384283808938683</c:v>
                </c:pt>
                <c:pt idx="205">
                  <c:v>2.2434450251611957</c:v>
                </c:pt>
                <c:pt idx="206">
                  <c:v>2.248286134941861</c:v>
                </c:pt>
                <c:pt idx="207">
                  <c:v>2.2528811159540325</c:v>
                </c:pt>
                <c:pt idx="208">
                  <c:v>2.2571629630275569</c:v>
                </c:pt>
                <c:pt idx="209">
                  <c:v>2.2610692371902217</c:v>
                </c:pt>
                <c:pt idx="210">
                  <c:v>2.2645429761685718</c:v>
                </c:pt>
                <c:pt idx="211">
                  <c:v>2.2675335250261255</c:v>
                </c:pt>
                <c:pt idx="212">
                  <c:v>2.2699972748264079</c:v>
                </c:pt>
                <c:pt idx="213">
                  <c:v>2.2718982985494516</c:v>
                </c:pt>
                <c:pt idx="214">
                  <c:v>2.2732088749886397</c:v>
                </c:pt>
                <c:pt idx="215">
                  <c:v>2.2739098929883297</c:v>
                </c:pt>
                <c:pt idx="216">
                  <c:v>2.2739911301275306</c:v>
                </c:pt>
                <c:pt idx="217">
                  <c:v>2.2734514017858221</c:v>
                </c:pt>
                <c:pt idx="218">
                  <c:v>2.2722985784177894</c:v>
                </c:pt>
                <c:pt idx="219">
                  <c:v>2.2705494707840699</c:v>
                </c:pt>
                <c:pt idx="220">
                  <c:v>2.2682295848126106</c:v>
                </c:pt>
                <c:pt idx="221">
                  <c:v>2.2653727496648046</c:v>
                </c:pt>
                <c:pt idx="222">
                  <c:v>2.2620206244301384</c:v>
                </c:pt>
                <c:pt idx="223">
                  <c:v>2.2582220906428629</c:v>
                </c:pt>
                <c:pt idx="224">
                  <c:v>2.2540325394791489</c:v>
                </c:pt>
                <c:pt idx="225">
                  <c:v>2.2495130640290113</c:v>
                </c:pt>
                <c:pt idx="226">
                  <c:v>2.2447295684214863</c:v>
                </c:pt>
                <c:pt idx="227">
                  <c:v>2.2397518067940245</c:v>
                </c:pt>
                <c:pt idx="228">
                  <c:v>2.2346523661200974</c:v>
                </c:pt>
                <c:pt idx="229">
                  <c:v>2.2295056077276718</c:v>
                </c:pt>
                <c:pt idx="230">
                  <c:v>2.2243865829436</c:v>
                </c:pt>
                <c:pt idx="231">
                  <c:v>2.2193699386762726</c:v>
                </c:pt>
                <c:pt idx="232">
                  <c:v>2.2145288288956073</c:v>
                </c:pt>
                <c:pt idx="233">
                  <c:v>2.2099338478834358</c:v>
                </c:pt>
                <c:pt idx="234">
                  <c:v>2.2056520008099114</c:v>
                </c:pt>
                <c:pt idx="235">
                  <c:v>2.2017457266472467</c:v>
                </c:pt>
                <c:pt idx="236">
                  <c:v>2.1982719876688965</c:v>
                </c:pt>
                <c:pt idx="237">
                  <c:v>2.1952814388113433</c:v>
                </c:pt>
                <c:pt idx="238">
                  <c:v>2.1928176890110604</c:v>
                </c:pt>
                <c:pt idx="239">
                  <c:v>2.1909166652880172</c:v>
                </c:pt>
                <c:pt idx="240">
                  <c:v>2.1896060888488282</c:v>
                </c:pt>
                <c:pt idx="241">
                  <c:v>2.1889050708491382</c:v>
                </c:pt>
                <c:pt idx="242">
                  <c:v>2.1888238337099377</c:v>
                </c:pt>
                <c:pt idx="243">
                  <c:v>2.1893635620516463</c:v>
                </c:pt>
                <c:pt idx="244">
                  <c:v>2.190516385419679</c:v>
                </c:pt>
                <c:pt idx="245">
                  <c:v>2.1922654930533985</c:v>
                </c:pt>
                <c:pt idx="246">
                  <c:v>2.1945853790248577</c:v>
                </c:pt>
                <c:pt idx="247">
                  <c:v>2.1974422141726637</c:v>
                </c:pt>
                <c:pt idx="248">
                  <c:v>2.2007943394073295</c:v>
                </c:pt>
                <c:pt idx="249">
                  <c:v>2.2045928731946054</c:v>
                </c:pt>
                <c:pt idx="250">
                  <c:v>2.2087824243583194</c:v>
                </c:pt>
                <c:pt idx="251">
                  <c:v>2.213301899808457</c:v>
                </c:pt>
                <c:pt idx="252">
                  <c:v>2.2180853954159825</c:v>
                </c:pt>
                <c:pt idx="253">
                  <c:v>2.2230631570434438</c:v>
                </c:pt>
                <c:pt idx="254">
                  <c:v>2.2281625977173709</c:v>
                </c:pt>
                <c:pt idx="255">
                  <c:v>2.2333093561097965</c:v>
                </c:pt>
                <c:pt idx="256">
                  <c:v>2.2384283808938683</c:v>
                </c:pt>
                <c:pt idx="257">
                  <c:v>2.2434450251611957</c:v>
                </c:pt>
                <c:pt idx="258">
                  <c:v>2.248286134941861</c:v>
                </c:pt>
                <c:pt idx="259">
                  <c:v>2.2528811159540325</c:v>
                </c:pt>
                <c:pt idx="260">
                  <c:v>2.2571629630275565</c:v>
                </c:pt>
                <c:pt idx="261">
                  <c:v>2.2610692371902217</c:v>
                </c:pt>
                <c:pt idx="262">
                  <c:v>2.2645429761685718</c:v>
                </c:pt>
                <c:pt idx="263">
                  <c:v>2.2675335250261255</c:v>
                </c:pt>
                <c:pt idx="264">
                  <c:v>2.2699972748264079</c:v>
                </c:pt>
                <c:pt idx="265">
                  <c:v>2.2718982985494516</c:v>
                </c:pt>
                <c:pt idx="266">
                  <c:v>2.2732088749886401</c:v>
                </c:pt>
                <c:pt idx="267">
                  <c:v>2.2739098929883301</c:v>
                </c:pt>
                <c:pt idx="268">
                  <c:v>2.2739911301275306</c:v>
                </c:pt>
                <c:pt idx="269">
                  <c:v>2.2734514017858221</c:v>
                </c:pt>
                <c:pt idx="270">
                  <c:v>2.2722985784177894</c:v>
                </c:pt>
                <c:pt idx="271">
                  <c:v>2.2705494707840699</c:v>
                </c:pt>
                <c:pt idx="272">
                  <c:v>2.2682295848126106</c:v>
                </c:pt>
                <c:pt idx="273">
                  <c:v>2.2653727496648046</c:v>
                </c:pt>
                <c:pt idx="274">
                  <c:v>2.2620206244301384</c:v>
                </c:pt>
                <c:pt idx="275">
                  <c:v>2.2582220906428629</c:v>
                </c:pt>
                <c:pt idx="276">
                  <c:v>2.2540325394791489</c:v>
                </c:pt>
                <c:pt idx="277">
                  <c:v>2.2495130640290113</c:v>
                </c:pt>
                <c:pt idx="278">
                  <c:v>2.2447295684214859</c:v>
                </c:pt>
                <c:pt idx="279">
                  <c:v>2.2397518067940245</c:v>
                </c:pt>
                <c:pt idx="280">
                  <c:v>2.2346523661200974</c:v>
                </c:pt>
                <c:pt idx="281">
                  <c:v>2.2295056077276718</c:v>
                </c:pt>
                <c:pt idx="282">
                  <c:v>2.2243865829436</c:v>
                </c:pt>
                <c:pt idx="283">
                  <c:v>2.2193699386762726</c:v>
                </c:pt>
                <c:pt idx="284">
                  <c:v>2.2145288288956073</c:v>
                </c:pt>
                <c:pt idx="285">
                  <c:v>2.2099338478834358</c:v>
                </c:pt>
                <c:pt idx="286">
                  <c:v>2.2056520008099119</c:v>
                </c:pt>
                <c:pt idx="287">
                  <c:v>2.2017457266472467</c:v>
                </c:pt>
                <c:pt idx="288">
                  <c:v>2.1982719876688965</c:v>
                </c:pt>
                <c:pt idx="289">
                  <c:v>2.1952814388113429</c:v>
                </c:pt>
                <c:pt idx="290">
                  <c:v>2.1928176890110604</c:v>
                </c:pt>
                <c:pt idx="291">
                  <c:v>2.1909166652880172</c:v>
                </c:pt>
                <c:pt idx="292">
                  <c:v>2.1896060888488287</c:v>
                </c:pt>
                <c:pt idx="293">
                  <c:v>2.1889050708491387</c:v>
                </c:pt>
                <c:pt idx="294">
                  <c:v>2.1888238337099377</c:v>
                </c:pt>
                <c:pt idx="295">
                  <c:v>2.1893635620516463</c:v>
                </c:pt>
                <c:pt idx="296">
                  <c:v>2.190516385419679</c:v>
                </c:pt>
                <c:pt idx="297">
                  <c:v>2.1922654930533985</c:v>
                </c:pt>
                <c:pt idx="298">
                  <c:v>2.1945853790248577</c:v>
                </c:pt>
                <c:pt idx="299">
                  <c:v>2.1974422141726637</c:v>
                </c:pt>
                <c:pt idx="300">
                  <c:v>2.2007943394073299</c:v>
                </c:pt>
                <c:pt idx="301">
                  <c:v>2.2045928731946054</c:v>
                </c:pt>
                <c:pt idx="302">
                  <c:v>2.2087824243583194</c:v>
                </c:pt>
                <c:pt idx="303">
                  <c:v>2.2133018998084566</c:v>
                </c:pt>
                <c:pt idx="304">
                  <c:v>2.218085395415982</c:v>
                </c:pt>
                <c:pt idx="305">
                  <c:v>2.2230631570434438</c:v>
                </c:pt>
                <c:pt idx="306">
                  <c:v>2.2281625977173709</c:v>
                </c:pt>
                <c:pt idx="307">
                  <c:v>2.2333093561097965</c:v>
                </c:pt>
                <c:pt idx="308">
                  <c:v>2.2384283808938688</c:v>
                </c:pt>
                <c:pt idx="309">
                  <c:v>2.2434450251611957</c:v>
                </c:pt>
                <c:pt idx="310">
                  <c:v>2.248286134941861</c:v>
                </c:pt>
                <c:pt idx="311">
                  <c:v>2.2528811159540325</c:v>
                </c:pt>
                <c:pt idx="312">
                  <c:v>2.2571629630275569</c:v>
                </c:pt>
                <c:pt idx="313">
                  <c:v>2.2610692371902212</c:v>
                </c:pt>
                <c:pt idx="314">
                  <c:v>2.2645429761685723</c:v>
                </c:pt>
                <c:pt idx="315">
                  <c:v>2.2675335250261255</c:v>
                </c:pt>
                <c:pt idx="316">
                  <c:v>2.2699972748264079</c:v>
                </c:pt>
                <c:pt idx="317">
                  <c:v>2.2718982985494516</c:v>
                </c:pt>
                <c:pt idx="318">
                  <c:v>2.2732088749886397</c:v>
                </c:pt>
                <c:pt idx="319">
                  <c:v>2.2739098929883301</c:v>
                </c:pt>
                <c:pt idx="320">
                  <c:v>2.2739911301275306</c:v>
                </c:pt>
                <c:pt idx="321">
                  <c:v>2.2734514017858221</c:v>
                </c:pt>
                <c:pt idx="322">
                  <c:v>2.2722985784177894</c:v>
                </c:pt>
                <c:pt idx="323">
                  <c:v>2.2705494707840699</c:v>
                </c:pt>
                <c:pt idx="324">
                  <c:v>2.2682295848126106</c:v>
                </c:pt>
                <c:pt idx="325">
                  <c:v>2.2653727496648046</c:v>
                </c:pt>
                <c:pt idx="326">
                  <c:v>2.2620206244301384</c:v>
                </c:pt>
                <c:pt idx="327">
                  <c:v>2.2582220906428629</c:v>
                </c:pt>
                <c:pt idx="328">
                  <c:v>2.2540325394791489</c:v>
                </c:pt>
                <c:pt idx="329">
                  <c:v>2.2495130640290117</c:v>
                </c:pt>
                <c:pt idx="330">
                  <c:v>2.2447295684214859</c:v>
                </c:pt>
                <c:pt idx="331">
                  <c:v>2.2397518067940241</c:v>
                </c:pt>
                <c:pt idx="332">
                  <c:v>2.2346523661200974</c:v>
                </c:pt>
                <c:pt idx="333">
                  <c:v>2.2295056077276714</c:v>
                </c:pt>
                <c:pt idx="334">
                  <c:v>2.2243865829436</c:v>
                </c:pt>
                <c:pt idx="335">
                  <c:v>2.2193699386762726</c:v>
                </c:pt>
                <c:pt idx="336">
                  <c:v>2.2145288288956073</c:v>
                </c:pt>
                <c:pt idx="337">
                  <c:v>2.2099338478834358</c:v>
                </c:pt>
                <c:pt idx="338">
                  <c:v>2.2056520008099119</c:v>
                </c:pt>
                <c:pt idx="339">
                  <c:v>2.2017457266472467</c:v>
                </c:pt>
                <c:pt idx="340">
                  <c:v>2.1982719876688965</c:v>
                </c:pt>
                <c:pt idx="341">
                  <c:v>2.1952814388113429</c:v>
                </c:pt>
                <c:pt idx="342">
                  <c:v>2.1928176890110604</c:v>
                </c:pt>
                <c:pt idx="343">
                  <c:v>2.1909166652880172</c:v>
                </c:pt>
                <c:pt idx="344">
                  <c:v>2.1896060888488282</c:v>
                </c:pt>
                <c:pt idx="345">
                  <c:v>2.1889050708491387</c:v>
                </c:pt>
                <c:pt idx="346">
                  <c:v>2.1888238337099377</c:v>
                </c:pt>
                <c:pt idx="347">
                  <c:v>2.1893635620516463</c:v>
                </c:pt>
                <c:pt idx="348">
                  <c:v>2.190516385419679</c:v>
                </c:pt>
                <c:pt idx="349">
                  <c:v>2.1922654930533985</c:v>
                </c:pt>
                <c:pt idx="350">
                  <c:v>2.1945853790248577</c:v>
                </c:pt>
                <c:pt idx="351">
                  <c:v>2.1974422141726633</c:v>
                </c:pt>
                <c:pt idx="352">
                  <c:v>2.2007943394073299</c:v>
                </c:pt>
                <c:pt idx="353">
                  <c:v>2.2045928731946054</c:v>
                </c:pt>
                <c:pt idx="354">
                  <c:v>2.2087824243583194</c:v>
                </c:pt>
                <c:pt idx="355">
                  <c:v>2.213301899808457</c:v>
                </c:pt>
                <c:pt idx="356">
                  <c:v>2.218085395415982</c:v>
                </c:pt>
                <c:pt idx="357">
                  <c:v>2.2230631570434438</c:v>
                </c:pt>
                <c:pt idx="358">
                  <c:v>2.2281625977173705</c:v>
                </c:pt>
                <c:pt idx="359">
                  <c:v>2.2333093561097965</c:v>
                </c:pt>
                <c:pt idx="360">
                  <c:v>2.2384283808938683</c:v>
                </c:pt>
                <c:pt idx="361">
                  <c:v>2.2434450251611957</c:v>
                </c:pt>
                <c:pt idx="362">
                  <c:v>2.2482861349418615</c:v>
                </c:pt>
                <c:pt idx="363">
                  <c:v>2.2528811159540325</c:v>
                </c:pt>
                <c:pt idx="364">
                  <c:v>2.2571629630275569</c:v>
                </c:pt>
                <c:pt idx="365">
                  <c:v>2.2610692371902212</c:v>
                </c:pt>
                <c:pt idx="366">
                  <c:v>2.2645429761685723</c:v>
                </c:pt>
                <c:pt idx="367">
                  <c:v>2.267533525026125</c:v>
                </c:pt>
                <c:pt idx="368">
                  <c:v>2.2699972748264079</c:v>
                </c:pt>
                <c:pt idx="369">
                  <c:v>2.2718982985494516</c:v>
                </c:pt>
                <c:pt idx="370">
                  <c:v>2.2732088749886397</c:v>
                </c:pt>
                <c:pt idx="371">
                  <c:v>2.2739098929883297</c:v>
                </c:pt>
                <c:pt idx="372">
                  <c:v>2.2739911301275306</c:v>
                </c:pt>
                <c:pt idx="373">
                  <c:v>2.2734514017858221</c:v>
                </c:pt>
                <c:pt idx="374">
                  <c:v>2.2722985784177894</c:v>
                </c:pt>
                <c:pt idx="375">
                  <c:v>2.2705494707840699</c:v>
                </c:pt>
                <c:pt idx="376">
                  <c:v>2.2682295848126106</c:v>
                </c:pt>
                <c:pt idx="377">
                  <c:v>2.2653727496648046</c:v>
                </c:pt>
                <c:pt idx="378">
                  <c:v>2.2620206244301388</c:v>
                </c:pt>
                <c:pt idx="379">
                  <c:v>2.2582220906428629</c:v>
                </c:pt>
                <c:pt idx="380">
                  <c:v>2.2540325394791489</c:v>
                </c:pt>
                <c:pt idx="381">
                  <c:v>2.2495130640290113</c:v>
                </c:pt>
                <c:pt idx="382">
                  <c:v>2.2447295684214863</c:v>
                </c:pt>
                <c:pt idx="383">
                  <c:v>2.2397518067940241</c:v>
                </c:pt>
                <c:pt idx="384">
                  <c:v>2.2346523661200974</c:v>
                </c:pt>
                <c:pt idx="385">
                  <c:v>2.2295056077276718</c:v>
                </c:pt>
                <c:pt idx="386">
                  <c:v>2.2243865829436</c:v>
                </c:pt>
                <c:pt idx="387">
                  <c:v>2.2193699386762726</c:v>
                </c:pt>
                <c:pt idx="388">
                  <c:v>2.2145288288956073</c:v>
                </c:pt>
                <c:pt idx="389">
                  <c:v>2.2099338478834358</c:v>
                </c:pt>
                <c:pt idx="390">
                  <c:v>2.2056520008099114</c:v>
                </c:pt>
                <c:pt idx="391">
                  <c:v>2.2017457266472471</c:v>
                </c:pt>
                <c:pt idx="392">
                  <c:v>2.1982719876688965</c:v>
                </c:pt>
                <c:pt idx="393">
                  <c:v>2.1952814388113433</c:v>
                </c:pt>
                <c:pt idx="394">
                  <c:v>2.1928176890110604</c:v>
                </c:pt>
                <c:pt idx="395">
                  <c:v>2.1909166652880172</c:v>
                </c:pt>
                <c:pt idx="396">
                  <c:v>2.1896060888488287</c:v>
                </c:pt>
                <c:pt idx="397">
                  <c:v>2.1889050708491382</c:v>
                </c:pt>
                <c:pt idx="398">
                  <c:v>2.1888238337099377</c:v>
                </c:pt>
                <c:pt idx="399">
                  <c:v>2.1893635620516463</c:v>
                </c:pt>
                <c:pt idx="400">
                  <c:v>2.190516385419679</c:v>
                </c:pt>
                <c:pt idx="401">
                  <c:v>2.1922654930533985</c:v>
                </c:pt>
                <c:pt idx="402">
                  <c:v>2.1945853790248577</c:v>
                </c:pt>
                <c:pt idx="403">
                  <c:v>2.1974422141726637</c:v>
                </c:pt>
                <c:pt idx="404">
                  <c:v>2.2007943394073295</c:v>
                </c:pt>
                <c:pt idx="405">
                  <c:v>2.2045928731946054</c:v>
                </c:pt>
                <c:pt idx="406">
                  <c:v>2.2087824243583194</c:v>
                </c:pt>
                <c:pt idx="407">
                  <c:v>2.2133018998084566</c:v>
                </c:pt>
                <c:pt idx="408">
                  <c:v>2.2180853954159825</c:v>
                </c:pt>
                <c:pt idx="409">
                  <c:v>2.2230631570434438</c:v>
                </c:pt>
                <c:pt idx="410">
                  <c:v>2.2281625977173709</c:v>
                </c:pt>
                <c:pt idx="411">
                  <c:v>2.2333093561097965</c:v>
                </c:pt>
                <c:pt idx="412">
                  <c:v>2.2384283808938688</c:v>
                </c:pt>
                <c:pt idx="413">
                  <c:v>2.2434450251611957</c:v>
                </c:pt>
                <c:pt idx="414">
                  <c:v>2.248286134941861</c:v>
                </c:pt>
                <c:pt idx="415">
                  <c:v>2.2528811159540325</c:v>
                </c:pt>
                <c:pt idx="416">
                  <c:v>2.2571629630275569</c:v>
                </c:pt>
                <c:pt idx="417">
                  <c:v>2.2610692371902217</c:v>
                </c:pt>
                <c:pt idx="418">
                  <c:v>2.2645429761685718</c:v>
                </c:pt>
                <c:pt idx="419">
                  <c:v>2.2675335250261255</c:v>
                </c:pt>
                <c:pt idx="420">
                  <c:v>2.2699972748264079</c:v>
                </c:pt>
                <c:pt idx="421">
                  <c:v>2.2718982985494516</c:v>
                </c:pt>
                <c:pt idx="422">
                  <c:v>2.2732088749886401</c:v>
                </c:pt>
                <c:pt idx="423">
                  <c:v>2.2739098929883297</c:v>
                </c:pt>
                <c:pt idx="424">
                  <c:v>2.2739911301275306</c:v>
                </c:pt>
                <c:pt idx="425">
                  <c:v>2.2734514017858221</c:v>
                </c:pt>
                <c:pt idx="426">
                  <c:v>2.2722985784177889</c:v>
                </c:pt>
                <c:pt idx="427">
                  <c:v>2.2705494707840699</c:v>
                </c:pt>
                <c:pt idx="428">
                  <c:v>2.2682295848126106</c:v>
                </c:pt>
                <c:pt idx="429">
                  <c:v>2.2653727496648046</c:v>
                </c:pt>
                <c:pt idx="430">
                  <c:v>2.2620206244301384</c:v>
                </c:pt>
                <c:pt idx="431">
                  <c:v>2.2582220906428629</c:v>
                </c:pt>
                <c:pt idx="432">
                  <c:v>2.2540325394791489</c:v>
                </c:pt>
                <c:pt idx="433">
                  <c:v>2.2495130640290117</c:v>
                </c:pt>
                <c:pt idx="434">
                  <c:v>2.2447295684214859</c:v>
                </c:pt>
                <c:pt idx="435">
                  <c:v>2.2397518067940245</c:v>
                </c:pt>
                <c:pt idx="436">
                  <c:v>2.2346523661200974</c:v>
                </c:pt>
                <c:pt idx="437">
                  <c:v>2.2295056077276714</c:v>
                </c:pt>
                <c:pt idx="438">
                  <c:v>2.2243865829436</c:v>
                </c:pt>
                <c:pt idx="439">
                  <c:v>2.2193699386762726</c:v>
                </c:pt>
                <c:pt idx="440">
                  <c:v>2.2145288288956073</c:v>
                </c:pt>
                <c:pt idx="441">
                  <c:v>2.2099338478834358</c:v>
                </c:pt>
                <c:pt idx="442">
                  <c:v>2.2056520008099119</c:v>
                </c:pt>
                <c:pt idx="443">
                  <c:v>2.2017457266472471</c:v>
                </c:pt>
                <c:pt idx="444">
                  <c:v>2.1982719876688965</c:v>
                </c:pt>
                <c:pt idx="445">
                  <c:v>2.1952814388113429</c:v>
                </c:pt>
                <c:pt idx="446">
                  <c:v>2.1928176890110604</c:v>
                </c:pt>
                <c:pt idx="447">
                  <c:v>2.1909166652880172</c:v>
                </c:pt>
                <c:pt idx="448">
                  <c:v>2.1896060888488282</c:v>
                </c:pt>
                <c:pt idx="449">
                  <c:v>2.1889050708491387</c:v>
                </c:pt>
                <c:pt idx="450">
                  <c:v>2.1888238337099377</c:v>
                </c:pt>
                <c:pt idx="451">
                  <c:v>2.1893635620516463</c:v>
                </c:pt>
                <c:pt idx="452">
                  <c:v>2.190516385419679</c:v>
                </c:pt>
                <c:pt idx="453">
                  <c:v>2.1922654930533985</c:v>
                </c:pt>
                <c:pt idx="454">
                  <c:v>2.1945853790248577</c:v>
                </c:pt>
                <c:pt idx="455">
                  <c:v>2.1974422141726637</c:v>
                </c:pt>
                <c:pt idx="456">
                  <c:v>2.2007943394073299</c:v>
                </c:pt>
                <c:pt idx="457">
                  <c:v>2.2045928731946054</c:v>
                </c:pt>
                <c:pt idx="458">
                  <c:v>2.2087824243583194</c:v>
                </c:pt>
                <c:pt idx="459">
                  <c:v>2.213301899808457</c:v>
                </c:pt>
                <c:pt idx="460">
                  <c:v>2.218085395415982</c:v>
                </c:pt>
                <c:pt idx="461">
                  <c:v>2.2230631570434438</c:v>
                </c:pt>
                <c:pt idx="462">
                  <c:v>2.2281625977173709</c:v>
                </c:pt>
                <c:pt idx="463">
                  <c:v>2.2333093561097965</c:v>
                </c:pt>
                <c:pt idx="464">
                  <c:v>2.2384283808938683</c:v>
                </c:pt>
                <c:pt idx="465">
                  <c:v>2.2434450251611957</c:v>
                </c:pt>
                <c:pt idx="466">
                  <c:v>2.248286134941861</c:v>
                </c:pt>
                <c:pt idx="467">
                  <c:v>2.2528811159540325</c:v>
                </c:pt>
                <c:pt idx="468">
                  <c:v>2.2571629630275565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1C-4B1A-895C-7A6D087CBBEB}"/>
            </c:ext>
          </c:extLst>
        </c:ser>
        <c:ser>
          <c:idx val="2"/>
          <c:order val="2"/>
          <c:tx>
            <c:strRef>
              <c:f>'excess mortality linear model'!$K$1</c:f>
              <c:strCache>
                <c:ptCount val="1"/>
                <c:pt idx="0">
                  <c:v>Upper limit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7"/>
            <c:marker>
              <c:symbol val="none"/>
            </c:marker>
            <c:bubble3D val="0"/>
            <c:spPr>
              <a:ln w="12700" cap="rnd">
                <a:solidFill>
                  <a:schemeClr val="accent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C-4B1A-895C-7A6D087CBBEB}"/>
              </c:ext>
            </c:extLst>
          </c:dPt>
          <c:dPt>
            <c:idx val="1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D11C-4B1A-895C-7A6D087CBBEB}"/>
              </c:ext>
            </c:extLst>
          </c:dPt>
          <c:val>
            <c:numRef>
              <c:f>'excess mortality linear model'!$K$2:$K$470</c:f>
              <c:numCache>
                <c:formatCode>General</c:formatCode>
                <c:ptCount val="469"/>
                <c:pt idx="0">
                  <c:v>2.3547197847257957</c:v>
                </c:pt>
                <c:pt idx="1">
                  <c:v>2.3586260588884604</c:v>
                </c:pt>
                <c:pt idx="2">
                  <c:v>2.3620997978668106</c:v>
                </c:pt>
                <c:pt idx="3">
                  <c:v>2.3650903467243642</c:v>
                </c:pt>
                <c:pt idx="4">
                  <c:v>2.3675540965246467</c:v>
                </c:pt>
                <c:pt idx="5">
                  <c:v>2.3694551202476903</c:v>
                </c:pt>
                <c:pt idx="6">
                  <c:v>2.3707656966868784</c:v>
                </c:pt>
                <c:pt idx="7">
                  <c:v>2.3714667146865684</c:v>
                </c:pt>
                <c:pt idx="8">
                  <c:v>2.3715479518257694</c:v>
                </c:pt>
                <c:pt idx="9">
                  <c:v>2.3710082234840608</c:v>
                </c:pt>
                <c:pt idx="10">
                  <c:v>2.3698554001160281</c:v>
                </c:pt>
                <c:pt idx="11">
                  <c:v>2.3681062924823086</c:v>
                </c:pt>
                <c:pt idx="12">
                  <c:v>2.3657864065108494</c:v>
                </c:pt>
                <c:pt idx="13">
                  <c:v>2.3629295713630434</c:v>
                </c:pt>
                <c:pt idx="14">
                  <c:v>2.3595774461283772</c:v>
                </c:pt>
                <c:pt idx="15">
                  <c:v>2.3557789123411017</c:v>
                </c:pt>
                <c:pt idx="16">
                  <c:v>2.3515893611773877</c:v>
                </c:pt>
                <c:pt idx="17">
                  <c:v>2.3470698857272501</c:v>
                </c:pt>
                <c:pt idx="18">
                  <c:v>2.3422863901197251</c:v>
                </c:pt>
                <c:pt idx="19">
                  <c:v>2.3373086284922628</c:v>
                </c:pt>
                <c:pt idx="20">
                  <c:v>2.3322091878183362</c:v>
                </c:pt>
                <c:pt idx="21">
                  <c:v>2.3270624294259106</c:v>
                </c:pt>
                <c:pt idx="22">
                  <c:v>2.3219434046418383</c:v>
                </c:pt>
                <c:pt idx="23">
                  <c:v>2.3169267603745114</c:v>
                </c:pt>
                <c:pt idx="24">
                  <c:v>2.3120856505938461</c:v>
                </c:pt>
                <c:pt idx="25">
                  <c:v>2.3074906695816746</c:v>
                </c:pt>
                <c:pt idx="26">
                  <c:v>2.3032088225081502</c:v>
                </c:pt>
                <c:pt idx="27">
                  <c:v>2.2993025483454854</c:v>
                </c:pt>
                <c:pt idx="28">
                  <c:v>2.2958288093671353</c:v>
                </c:pt>
                <c:pt idx="29">
                  <c:v>2.2928382605095816</c:v>
                </c:pt>
                <c:pt idx="30">
                  <c:v>2.2903745107092992</c:v>
                </c:pt>
                <c:pt idx="31">
                  <c:v>2.2884734869862555</c:v>
                </c:pt>
                <c:pt idx="32">
                  <c:v>2.2871629105470674</c:v>
                </c:pt>
                <c:pt idx="33">
                  <c:v>2.2864618925473774</c:v>
                </c:pt>
                <c:pt idx="34">
                  <c:v>2.2863806554081765</c:v>
                </c:pt>
                <c:pt idx="35">
                  <c:v>2.286920383749885</c:v>
                </c:pt>
                <c:pt idx="36">
                  <c:v>2.2880732071179177</c:v>
                </c:pt>
                <c:pt idx="37">
                  <c:v>2.2898223147516372</c:v>
                </c:pt>
                <c:pt idx="38">
                  <c:v>2.2921422007230965</c:v>
                </c:pt>
                <c:pt idx="39">
                  <c:v>2.2949990358709025</c:v>
                </c:pt>
                <c:pt idx="40">
                  <c:v>2.2983511611055687</c:v>
                </c:pt>
                <c:pt idx="41">
                  <c:v>2.3021496948928442</c:v>
                </c:pt>
                <c:pt idx="42">
                  <c:v>2.3063392460565582</c:v>
                </c:pt>
                <c:pt idx="43">
                  <c:v>2.3108587215066954</c:v>
                </c:pt>
                <c:pt idx="44">
                  <c:v>2.3156422171142212</c:v>
                </c:pt>
                <c:pt idx="45">
                  <c:v>2.3206199787416826</c:v>
                </c:pt>
                <c:pt idx="46">
                  <c:v>2.3257194194156097</c:v>
                </c:pt>
                <c:pt idx="47">
                  <c:v>2.3308661778080353</c:v>
                </c:pt>
                <c:pt idx="48">
                  <c:v>2.3359852025921075</c:v>
                </c:pt>
                <c:pt idx="49">
                  <c:v>2.3410018468594345</c:v>
                </c:pt>
                <c:pt idx="50">
                  <c:v>2.3458429566400998</c:v>
                </c:pt>
                <c:pt idx="51">
                  <c:v>2.3504379376522713</c:v>
                </c:pt>
                <c:pt idx="52">
                  <c:v>2.3547197847257957</c:v>
                </c:pt>
                <c:pt idx="53">
                  <c:v>2.3586260588884604</c:v>
                </c:pt>
                <c:pt idx="54">
                  <c:v>2.3620997978668106</c:v>
                </c:pt>
                <c:pt idx="55">
                  <c:v>2.3650903467243642</c:v>
                </c:pt>
                <c:pt idx="56">
                  <c:v>2.3675540965246467</c:v>
                </c:pt>
                <c:pt idx="57">
                  <c:v>2.3694551202476903</c:v>
                </c:pt>
                <c:pt idx="58">
                  <c:v>2.3707656966868784</c:v>
                </c:pt>
                <c:pt idx="59">
                  <c:v>2.3714667146865684</c:v>
                </c:pt>
                <c:pt idx="60">
                  <c:v>2.3715479518257694</c:v>
                </c:pt>
                <c:pt idx="61">
                  <c:v>2.3710082234840608</c:v>
                </c:pt>
                <c:pt idx="62">
                  <c:v>2.3698554001160281</c:v>
                </c:pt>
                <c:pt idx="63">
                  <c:v>2.3681062924823086</c:v>
                </c:pt>
                <c:pt idx="64">
                  <c:v>2.3657864065108494</c:v>
                </c:pt>
                <c:pt idx="65">
                  <c:v>2.3629295713630434</c:v>
                </c:pt>
                <c:pt idx="66">
                  <c:v>2.3595774461283772</c:v>
                </c:pt>
                <c:pt idx="67">
                  <c:v>2.3557789123411017</c:v>
                </c:pt>
                <c:pt idx="68">
                  <c:v>2.3515893611773877</c:v>
                </c:pt>
                <c:pt idx="69">
                  <c:v>2.3470698857272505</c:v>
                </c:pt>
                <c:pt idx="70">
                  <c:v>2.3422863901197251</c:v>
                </c:pt>
                <c:pt idx="71">
                  <c:v>2.3373086284922633</c:v>
                </c:pt>
                <c:pt idx="72">
                  <c:v>2.3322091878183362</c:v>
                </c:pt>
                <c:pt idx="73">
                  <c:v>2.3270624294259106</c:v>
                </c:pt>
                <c:pt idx="74">
                  <c:v>2.3219434046418383</c:v>
                </c:pt>
                <c:pt idx="75">
                  <c:v>2.3169267603745114</c:v>
                </c:pt>
                <c:pt idx="76">
                  <c:v>2.3120856505938461</c:v>
                </c:pt>
                <c:pt idx="77">
                  <c:v>2.3074906695816746</c:v>
                </c:pt>
                <c:pt idx="78">
                  <c:v>2.3032088225081502</c:v>
                </c:pt>
                <c:pt idx="79">
                  <c:v>2.2993025483454854</c:v>
                </c:pt>
                <c:pt idx="80">
                  <c:v>2.2958288093671353</c:v>
                </c:pt>
                <c:pt idx="81">
                  <c:v>2.2928382605095816</c:v>
                </c:pt>
                <c:pt idx="82">
                  <c:v>2.2903745107092992</c:v>
                </c:pt>
                <c:pt idx="83">
                  <c:v>2.2884734869862555</c:v>
                </c:pt>
                <c:pt idx="84">
                  <c:v>2.2871629105470674</c:v>
                </c:pt>
                <c:pt idx="85">
                  <c:v>2.2864618925473774</c:v>
                </c:pt>
                <c:pt idx="86">
                  <c:v>2.2863806554081765</c:v>
                </c:pt>
                <c:pt idx="87">
                  <c:v>2.286920383749885</c:v>
                </c:pt>
                <c:pt idx="88">
                  <c:v>2.2880732071179177</c:v>
                </c:pt>
                <c:pt idx="89">
                  <c:v>2.2898223147516372</c:v>
                </c:pt>
                <c:pt idx="90">
                  <c:v>2.2921422007230965</c:v>
                </c:pt>
                <c:pt idx="91">
                  <c:v>2.2949990358709025</c:v>
                </c:pt>
                <c:pt idx="92">
                  <c:v>2.2983511611055687</c:v>
                </c:pt>
                <c:pt idx="93">
                  <c:v>2.3021496948928442</c:v>
                </c:pt>
                <c:pt idx="94">
                  <c:v>2.3063392460565582</c:v>
                </c:pt>
                <c:pt idx="95">
                  <c:v>2.3108587215066958</c:v>
                </c:pt>
                <c:pt idx="96">
                  <c:v>2.3156422171142208</c:v>
                </c:pt>
                <c:pt idx="97">
                  <c:v>2.3206199787416826</c:v>
                </c:pt>
                <c:pt idx="98">
                  <c:v>2.3257194194156097</c:v>
                </c:pt>
                <c:pt idx="99">
                  <c:v>2.3308661778080353</c:v>
                </c:pt>
                <c:pt idx="100">
                  <c:v>2.3359852025921075</c:v>
                </c:pt>
                <c:pt idx="101">
                  <c:v>2.3410018468594345</c:v>
                </c:pt>
                <c:pt idx="102">
                  <c:v>2.3458429566400998</c:v>
                </c:pt>
                <c:pt idx="103">
                  <c:v>2.3504379376522713</c:v>
                </c:pt>
                <c:pt idx="104">
                  <c:v>2.3547197847257957</c:v>
                </c:pt>
                <c:pt idx="105">
                  <c:v>2.3586260588884604</c:v>
                </c:pt>
                <c:pt idx="106">
                  <c:v>2.3620997978668106</c:v>
                </c:pt>
                <c:pt idx="107">
                  <c:v>2.3650903467243642</c:v>
                </c:pt>
                <c:pt idx="108">
                  <c:v>2.3675540965246467</c:v>
                </c:pt>
                <c:pt idx="109">
                  <c:v>2.3694551202476903</c:v>
                </c:pt>
                <c:pt idx="110">
                  <c:v>2.3707656966868784</c:v>
                </c:pt>
                <c:pt idx="111">
                  <c:v>2.3714667146865684</c:v>
                </c:pt>
                <c:pt idx="112">
                  <c:v>2.3715479518257694</c:v>
                </c:pt>
                <c:pt idx="113">
                  <c:v>2.3710082234840608</c:v>
                </c:pt>
                <c:pt idx="114">
                  <c:v>2.3698554001160281</c:v>
                </c:pt>
                <c:pt idx="115">
                  <c:v>2.3681062924823086</c:v>
                </c:pt>
                <c:pt idx="116">
                  <c:v>2.3657864065108494</c:v>
                </c:pt>
                <c:pt idx="117">
                  <c:v>2.3629295713630434</c:v>
                </c:pt>
                <c:pt idx="118">
                  <c:v>2.3595774461283772</c:v>
                </c:pt>
                <c:pt idx="119">
                  <c:v>2.3557789123411017</c:v>
                </c:pt>
                <c:pt idx="120">
                  <c:v>2.3515893611773877</c:v>
                </c:pt>
                <c:pt idx="121">
                  <c:v>2.3470698857272501</c:v>
                </c:pt>
                <c:pt idx="122">
                  <c:v>2.3422863901197251</c:v>
                </c:pt>
                <c:pt idx="123">
                  <c:v>2.3373086284922633</c:v>
                </c:pt>
                <c:pt idx="124">
                  <c:v>2.3322091878183362</c:v>
                </c:pt>
                <c:pt idx="125">
                  <c:v>2.3270624294259106</c:v>
                </c:pt>
                <c:pt idx="126">
                  <c:v>2.3219434046418383</c:v>
                </c:pt>
                <c:pt idx="127">
                  <c:v>2.3169267603745114</c:v>
                </c:pt>
                <c:pt idx="128">
                  <c:v>2.3120856505938461</c:v>
                </c:pt>
                <c:pt idx="129">
                  <c:v>2.3074906695816746</c:v>
                </c:pt>
                <c:pt idx="130">
                  <c:v>2.3032088225081502</c:v>
                </c:pt>
                <c:pt idx="131">
                  <c:v>2.2993025483454854</c:v>
                </c:pt>
                <c:pt idx="132">
                  <c:v>2.2958288093671353</c:v>
                </c:pt>
                <c:pt idx="133">
                  <c:v>2.2928382605095816</c:v>
                </c:pt>
                <c:pt idx="134">
                  <c:v>2.2903745107092992</c:v>
                </c:pt>
                <c:pt idx="135">
                  <c:v>2.2884734869862555</c:v>
                </c:pt>
                <c:pt idx="136">
                  <c:v>2.287162910547067</c:v>
                </c:pt>
                <c:pt idx="137">
                  <c:v>2.2864618925473774</c:v>
                </c:pt>
                <c:pt idx="138">
                  <c:v>2.2863806554081765</c:v>
                </c:pt>
                <c:pt idx="139">
                  <c:v>2.286920383749885</c:v>
                </c:pt>
                <c:pt idx="140">
                  <c:v>2.2880732071179177</c:v>
                </c:pt>
                <c:pt idx="141">
                  <c:v>2.2898223147516372</c:v>
                </c:pt>
                <c:pt idx="142">
                  <c:v>2.2921422007230965</c:v>
                </c:pt>
                <c:pt idx="143">
                  <c:v>2.2949990358709025</c:v>
                </c:pt>
                <c:pt idx="144">
                  <c:v>2.2983511611055687</c:v>
                </c:pt>
                <c:pt idx="145">
                  <c:v>2.3021496948928442</c:v>
                </c:pt>
                <c:pt idx="146">
                  <c:v>2.3063392460565582</c:v>
                </c:pt>
                <c:pt idx="147">
                  <c:v>2.3108587215066958</c:v>
                </c:pt>
                <c:pt idx="148">
                  <c:v>2.3156422171142208</c:v>
                </c:pt>
                <c:pt idx="149">
                  <c:v>2.3206199787416826</c:v>
                </c:pt>
                <c:pt idx="150">
                  <c:v>2.3257194194156097</c:v>
                </c:pt>
                <c:pt idx="151">
                  <c:v>2.3308661778080353</c:v>
                </c:pt>
                <c:pt idx="152">
                  <c:v>2.3359852025921071</c:v>
                </c:pt>
                <c:pt idx="153">
                  <c:v>2.3410018468594345</c:v>
                </c:pt>
                <c:pt idx="154">
                  <c:v>2.3458429566400998</c:v>
                </c:pt>
                <c:pt idx="155">
                  <c:v>2.3504379376522713</c:v>
                </c:pt>
                <c:pt idx="156">
                  <c:v>2.3547197847257952</c:v>
                </c:pt>
                <c:pt idx="157">
                  <c:v>2.3586260588884604</c:v>
                </c:pt>
                <c:pt idx="158">
                  <c:v>2.3620997978668106</c:v>
                </c:pt>
                <c:pt idx="159">
                  <c:v>2.3650903467243642</c:v>
                </c:pt>
                <c:pt idx="160">
                  <c:v>2.3675540965246467</c:v>
                </c:pt>
                <c:pt idx="161">
                  <c:v>2.3694551202476903</c:v>
                </c:pt>
                <c:pt idx="162">
                  <c:v>2.3707656966868784</c:v>
                </c:pt>
                <c:pt idx="163">
                  <c:v>2.3714667146865684</c:v>
                </c:pt>
                <c:pt idx="164">
                  <c:v>2.3715479518257694</c:v>
                </c:pt>
                <c:pt idx="165">
                  <c:v>2.3710082234840608</c:v>
                </c:pt>
                <c:pt idx="166">
                  <c:v>2.3698554001160281</c:v>
                </c:pt>
                <c:pt idx="167">
                  <c:v>2.3681062924823086</c:v>
                </c:pt>
                <c:pt idx="168">
                  <c:v>2.3657864065108494</c:v>
                </c:pt>
                <c:pt idx="169">
                  <c:v>2.3629295713630434</c:v>
                </c:pt>
                <c:pt idx="170">
                  <c:v>2.3595774461283772</c:v>
                </c:pt>
                <c:pt idx="171">
                  <c:v>2.3557789123411017</c:v>
                </c:pt>
                <c:pt idx="172">
                  <c:v>2.3515893611773877</c:v>
                </c:pt>
                <c:pt idx="173">
                  <c:v>2.3470698857272505</c:v>
                </c:pt>
                <c:pt idx="174">
                  <c:v>2.3422863901197251</c:v>
                </c:pt>
                <c:pt idx="175">
                  <c:v>2.3373086284922633</c:v>
                </c:pt>
                <c:pt idx="176">
                  <c:v>2.3322091878183362</c:v>
                </c:pt>
                <c:pt idx="177">
                  <c:v>2.3270624294259106</c:v>
                </c:pt>
                <c:pt idx="178">
                  <c:v>2.3219434046418388</c:v>
                </c:pt>
                <c:pt idx="179">
                  <c:v>2.3169267603745114</c:v>
                </c:pt>
                <c:pt idx="180">
                  <c:v>2.3120856505938461</c:v>
                </c:pt>
                <c:pt idx="181">
                  <c:v>2.3074906695816746</c:v>
                </c:pt>
                <c:pt idx="182">
                  <c:v>2.3032088225081506</c:v>
                </c:pt>
                <c:pt idx="183">
                  <c:v>2.2993025483454854</c:v>
                </c:pt>
                <c:pt idx="184">
                  <c:v>2.2958288093671353</c:v>
                </c:pt>
                <c:pt idx="185">
                  <c:v>2.2928382605095821</c:v>
                </c:pt>
                <c:pt idx="186">
                  <c:v>2.2903745107092992</c:v>
                </c:pt>
                <c:pt idx="187">
                  <c:v>2.2884734869862555</c:v>
                </c:pt>
                <c:pt idx="188">
                  <c:v>2.287162910547067</c:v>
                </c:pt>
                <c:pt idx="189">
                  <c:v>2.2864618925473774</c:v>
                </c:pt>
                <c:pt idx="190">
                  <c:v>2.2863806554081765</c:v>
                </c:pt>
                <c:pt idx="191">
                  <c:v>2.286920383749885</c:v>
                </c:pt>
                <c:pt idx="192">
                  <c:v>2.2880732071179177</c:v>
                </c:pt>
                <c:pt idx="193">
                  <c:v>2.2898223147516372</c:v>
                </c:pt>
                <c:pt idx="194">
                  <c:v>2.2921422007230965</c:v>
                </c:pt>
                <c:pt idx="195">
                  <c:v>2.2949990358709025</c:v>
                </c:pt>
                <c:pt idx="196">
                  <c:v>2.2983511611055683</c:v>
                </c:pt>
                <c:pt idx="197">
                  <c:v>2.3021496948928442</c:v>
                </c:pt>
                <c:pt idx="198">
                  <c:v>2.3063392460565582</c:v>
                </c:pt>
                <c:pt idx="199">
                  <c:v>2.3108587215066958</c:v>
                </c:pt>
                <c:pt idx="200">
                  <c:v>2.3156422171142212</c:v>
                </c:pt>
                <c:pt idx="201">
                  <c:v>2.3206199787416826</c:v>
                </c:pt>
                <c:pt idx="202">
                  <c:v>2.3257194194156097</c:v>
                </c:pt>
                <c:pt idx="203">
                  <c:v>2.3308661778080353</c:v>
                </c:pt>
                <c:pt idx="204">
                  <c:v>2.3359852025921071</c:v>
                </c:pt>
                <c:pt idx="205">
                  <c:v>2.3410018468594345</c:v>
                </c:pt>
                <c:pt idx="206">
                  <c:v>2.3458429566400998</c:v>
                </c:pt>
                <c:pt idx="207">
                  <c:v>2.3504379376522713</c:v>
                </c:pt>
                <c:pt idx="208">
                  <c:v>2.3547197847257957</c:v>
                </c:pt>
                <c:pt idx="209">
                  <c:v>2.3586260588884604</c:v>
                </c:pt>
                <c:pt idx="210">
                  <c:v>2.3620997978668106</c:v>
                </c:pt>
                <c:pt idx="211">
                  <c:v>2.3650903467243642</c:v>
                </c:pt>
                <c:pt idx="212">
                  <c:v>2.3675540965246467</c:v>
                </c:pt>
                <c:pt idx="213">
                  <c:v>2.3694551202476903</c:v>
                </c:pt>
                <c:pt idx="214">
                  <c:v>2.3707656966868784</c:v>
                </c:pt>
                <c:pt idx="215">
                  <c:v>2.3714667146865684</c:v>
                </c:pt>
                <c:pt idx="216">
                  <c:v>2.3715479518257694</c:v>
                </c:pt>
                <c:pt idx="217">
                  <c:v>2.3710082234840608</c:v>
                </c:pt>
                <c:pt idx="218">
                  <c:v>2.3698554001160281</c:v>
                </c:pt>
                <c:pt idx="219">
                  <c:v>2.3681062924823086</c:v>
                </c:pt>
                <c:pt idx="220">
                  <c:v>2.3657864065108494</c:v>
                </c:pt>
                <c:pt idx="221">
                  <c:v>2.3629295713630434</c:v>
                </c:pt>
                <c:pt idx="222">
                  <c:v>2.3595774461283772</c:v>
                </c:pt>
                <c:pt idx="223">
                  <c:v>2.3557789123411017</c:v>
                </c:pt>
                <c:pt idx="224">
                  <c:v>2.3515893611773877</c:v>
                </c:pt>
                <c:pt idx="225">
                  <c:v>2.3470698857272501</c:v>
                </c:pt>
                <c:pt idx="226">
                  <c:v>2.3422863901197251</c:v>
                </c:pt>
                <c:pt idx="227">
                  <c:v>2.3373086284922633</c:v>
                </c:pt>
                <c:pt idx="228">
                  <c:v>2.3322091878183362</c:v>
                </c:pt>
                <c:pt idx="229">
                  <c:v>2.3270624294259106</c:v>
                </c:pt>
                <c:pt idx="230">
                  <c:v>2.3219434046418388</c:v>
                </c:pt>
                <c:pt idx="231">
                  <c:v>2.3169267603745114</c:v>
                </c:pt>
                <c:pt idx="232">
                  <c:v>2.3120856505938461</c:v>
                </c:pt>
                <c:pt idx="233">
                  <c:v>2.3074906695816746</c:v>
                </c:pt>
                <c:pt idx="234">
                  <c:v>2.3032088225081502</c:v>
                </c:pt>
                <c:pt idx="235">
                  <c:v>2.2993025483454854</c:v>
                </c:pt>
                <c:pt idx="236">
                  <c:v>2.2958288093671353</c:v>
                </c:pt>
                <c:pt idx="237">
                  <c:v>2.2928382605095821</c:v>
                </c:pt>
                <c:pt idx="238">
                  <c:v>2.2903745107092992</c:v>
                </c:pt>
                <c:pt idx="239">
                  <c:v>2.288473486986256</c:v>
                </c:pt>
                <c:pt idx="240">
                  <c:v>2.287162910547067</c:v>
                </c:pt>
                <c:pt idx="241">
                  <c:v>2.286461892547377</c:v>
                </c:pt>
                <c:pt idx="242">
                  <c:v>2.2863806554081765</c:v>
                </c:pt>
                <c:pt idx="243">
                  <c:v>2.286920383749885</c:v>
                </c:pt>
                <c:pt idx="244">
                  <c:v>2.2880732071179177</c:v>
                </c:pt>
                <c:pt idx="245">
                  <c:v>2.2898223147516372</c:v>
                </c:pt>
                <c:pt idx="246">
                  <c:v>2.2921422007230965</c:v>
                </c:pt>
                <c:pt idx="247">
                  <c:v>2.2949990358709025</c:v>
                </c:pt>
                <c:pt idx="248">
                  <c:v>2.2983511611055683</c:v>
                </c:pt>
                <c:pt idx="249">
                  <c:v>2.3021496948928442</c:v>
                </c:pt>
                <c:pt idx="250">
                  <c:v>2.3063392460565582</c:v>
                </c:pt>
                <c:pt idx="251">
                  <c:v>2.3108587215066958</c:v>
                </c:pt>
                <c:pt idx="252">
                  <c:v>2.3156422171142212</c:v>
                </c:pt>
                <c:pt idx="253">
                  <c:v>2.3206199787416826</c:v>
                </c:pt>
                <c:pt idx="254">
                  <c:v>2.3257194194156097</c:v>
                </c:pt>
                <c:pt idx="255">
                  <c:v>2.3308661778080353</c:v>
                </c:pt>
                <c:pt idx="256">
                  <c:v>2.3359852025921071</c:v>
                </c:pt>
                <c:pt idx="257">
                  <c:v>2.3410018468594345</c:v>
                </c:pt>
                <c:pt idx="258">
                  <c:v>2.3458429566400998</c:v>
                </c:pt>
                <c:pt idx="259">
                  <c:v>2.3504379376522713</c:v>
                </c:pt>
                <c:pt idx="260">
                  <c:v>2.3547197847257952</c:v>
                </c:pt>
                <c:pt idx="261">
                  <c:v>2.3586260588884604</c:v>
                </c:pt>
                <c:pt idx="262">
                  <c:v>2.3620997978668106</c:v>
                </c:pt>
                <c:pt idx="263">
                  <c:v>2.3650903467243642</c:v>
                </c:pt>
                <c:pt idx="264">
                  <c:v>2.3675540965246467</c:v>
                </c:pt>
                <c:pt idx="265">
                  <c:v>2.3694551202476903</c:v>
                </c:pt>
                <c:pt idx="266">
                  <c:v>2.3707656966868789</c:v>
                </c:pt>
                <c:pt idx="267">
                  <c:v>2.3714667146865689</c:v>
                </c:pt>
                <c:pt idx="268">
                  <c:v>2.3715479518257694</c:v>
                </c:pt>
                <c:pt idx="269">
                  <c:v>2.3710082234840608</c:v>
                </c:pt>
                <c:pt idx="270">
                  <c:v>2.3698554001160281</c:v>
                </c:pt>
                <c:pt idx="271">
                  <c:v>2.3681062924823086</c:v>
                </c:pt>
                <c:pt idx="272">
                  <c:v>2.3657864065108494</c:v>
                </c:pt>
                <c:pt idx="273">
                  <c:v>2.3629295713630434</c:v>
                </c:pt>
                <c:pt idx="274">
                  <c:v>2.3595774461283772</c:v>
                </c:pt>
                <c:pt idx="275">
                  <c:v>2.3557789123411017</c:v>
                </c:pt>
                <c:pt idx="276">
                  <c:v>2.3515893611773877</c:v>
                </c:pt>
                <c:pt idx="277">
                  <c:v>2.3470698857272501</c:v>
                </c:pt>
                <c:pt idx="278">
                  <c:v>2.3422863901197246</c:v>
                </c:pt>
                <c:pt idx="279">
                  <c:v>2.3373086284922633</c:v>
                </c:pt>
                <c:pt idx="280">
                  <c:v>2.3322091878183362</c:v>
                </c:pt>
                <c:pt idx="281">
                  <c:v>2.3270624294259106</c:v>
                </c:pt>
                <c:pt idx="282">
                  <c:v>2.3219434046418388</c:v>
                </c:pt>
                <c:pt idx="283">
                  <c:v>2.3169267603745114</c:v>
                </c:pt>
                <c:pt idx="284">
                  <c:v>2.3120856505938461</c:v>
                </c:pt>
                <c:pt idx="285">
                  <c:v>2.3074906695816746</c:v>
                </c:pt>
                <c:pt idx="286">
                  <c:v>2.3032088225081506</c:v>
                </c:pt>
                <c:pt idx="287">
                  <c:v>2.2993025483454854</c:v>
                </c:pt>
                <c:pt idx="288">
                  <c:v>2.2958288093671353</c:v>
                </c:pt>
                <c:pt idx="289">
                  <c:v>2.2928382605095816</c:v>
                </c:pt>
                <c:pt idx="290">
                  <c:v>2.2903745107092992</c:v>
                </c:pt>
                <c:pt idx="291">
                  <c:v>2.288473486986256</c:v>
                </c:pt>
                <c:pt idx="292">
                  <c:v>2.2871629105470674</c:v>
                </c:pt>
                <c:pt idx="293">
                  <c:v>2.2864618925473774</c:v>
                </c:pt>
                <c:pt idx="294">
                  <c:v>2.2863806554081765</c:v>
                </c:pt>
                <c:pt idx="295">
                  <c:v>2.286920383749885</c:v>
                </c:pt>
                <c:pt idx="296">
                  <c:v>2.2880732071179177</c:v>
                </c:pt>
                <c:pt idx="297">
                  <c:v>2.2898223147516372</c:v>
                </c:pt>
                <c:pt idx="298">
                  <c:v>2.2921422007230965</c:v>
                </c:pt>
                <c:pt idx="299">
                  <c:v>2.2949990358709025</c:v>
                </c:pt>
                <c:pt idx="300">
                  <c:v>2.2983511611055687</c:v>
                </c:pt>
                <c:pt idx="301">
                  <c:v>2.3021496948928442</c:v>
                </c:pt>
                <c:pt idx="302">
                  <c:v>2.3063392460565582</c:v>
                </c:pt>
                <c:pt idx="303">
                  <c:v>2.3108587215066954</c:v>
                </c:pt>
                <c:pt idx="304">
                  <c:v>2.3156422171142208</c:v>
                </c:pt>
                <c:pt idx="305">
                  <c:v>2.3206199787416826</c:v>
                </c:pt>
                <c:pt idx="306">
                  <c:v>2.3257194194156097</c:v>
                </c:pt>
                <c:pt idx="307">
                  <c:v>2.3308661778080353</c:v>
                </c:pt>
                <c:pt idx="308">
                  <c:v>2.3359852025921075</c:v>
                </c:pt>
                <c:pt idx="309">
                  <c:v>2.3410018468594345</c:v>
                </c:pt>
                <c:pt idx="310">
                  <c:v>2.3458429566400998</c:v>
                </c:pt>
                <c:pt idx="311">
                  <c:v>2.3504379376522713</c:v>
                </c:pt>
                <c:pt idx="312">
                  <c:v>2.3547197847257957</c:v>
                </c:pt>
                <c:pt idx="313">
                  <c:v>2.35862605888846</c:v>
                </c:pt>
                <c:pt idx="314">
                  <c:v>2.362099797866811</c:v>
                </c:pt>
                <c:pt idx="315">
                  <c:v>2.3650903467243642</c:v>
                </c:pt>
                <c:pt idx="316">
                  <c:v>2.3675540965246467</c:v>
                </c:pt>
                <c:pt idx="317">
                  <c:v>2.3694551202476903</c:v>
                </c:pt>
                <c:pt idx="318">
                  <c:v>2.3707656966868784</c:v>
                </c:pt>
                <c:pt idx="319">
                  <c:v>2.3714667146865689</c:v>
                </c:pt>
                <c:pt idx="320">
                  <c:v>2.3715479518257694</c:v>
                </c:pt>
                <c:pt idx="321">
                  <c:v>2.3710082234840608</c:v>
                </c:pt>
                <c:pt idx="322">
                  <c:v>2.3698554001160281</c:v>
                </c:pt>
                <c:pt idx="323">
                  <c:v>2.3681062924823086</c:v>
                </c:pt>
                <c:pt idx="324">
                  <c:v>2.3657864065108494</c:v>
                </c:pt>
                <c:pt idx="325">
                  <c:v>2.3629295713630434</c:v>
                </c:pt>
                <c:pt idx="326">
                  <c:v>2.3595774461283772</c:v>
                </c:pt>
                <c:pt idx="327">
                  <c:v>2.3557789123411017</c:v>
                </c:pt>
                <c:pt idx="328">
                  <c:v>2.3515893611773877</c:v>
                </c:pt>
                <c:pt idx="329">
                  <c:v>2.3470698857272505</c:v>
                </c:pt>
                <c:pt idx="330">
                  <c:v>2.3422863901197246</c:v>
                </c:pt>
                <c:pt idx="331">
                  <c:v>2.3373086284922628</c:v>
                </c:pt>
                <c:pt idx="332">
                  <c:v>2.3322091878183362</c:v>
                </c:pt>
                <c:pt idx="333">
                  <c:v>2.3270624294259101</c:v>
                </c:pt>
                <c:pt idx="334">
                  <c:v>2.3219434046418388</c:v>
                </c:pt>
                <c:pt idx="335">
                  <c:v>2.3169267603745114</c:v>
                </c:pt>
                <c:pt idx="336">
                  <c:v>2.3120856505938461</c:v>
                </c:pt>
                <c:pt idx="337">
                  <c:v>2.3074906695816746</c:v>
                </c:pt>
                <c:pt idx="338">
                  <c:v>2.3032088225081506</c:v>
                </c:pt>
                <c:pt idx="339">
                  <c:v>2.2993025483454854</c:v>
                </c:pt>
                <c:pt idx="340">
                  <c:v>2.2958288093671353</c:v>
                </c:pt>
                <c:pt idx="341">
                  <c:v>2.2928382605095816</c:v>
                </c:pt>
                <c:pt idx="342">
                  <c:v>2.2903745107092992</c:v>
                </c:pt>
                <c:pt idx="343">
                  <c:v>2.288473486986256</c:v>
                </c:pt>
                <c:pt idx="344">
                  <c:v>2.287162910547067</c:v>
                </c:pt>
                <c:pt idx="345">
                  <c:v>2.2864618925473774</c:v>
                </c:pt>
                <c:pt idx="346">
                  <c:v>2.2863806554081765</c:v>
                </c:pt>
                <c:pt idx="347">
                  <c:v>2.286920383749885</c:v>
                </c:pt>
                <c:pt idx="348">
                  <c:v>2.2880732071179177</c:v>
                </c:pt>
                <c:pt idx="349">
                  <c:v>2.2898223147516372</c:v>
                </c:pt>
                <c:pt idx="350">
                  <c:v>2.2921422007230965</c:v>
                </c:pt>
                <c:pt idx="351">
                  <c:v>2.294999035870902</c:v>
                </c:pt>
                <c:pt idx="352">
                  <c:v>2.2983511611055687</c:v>
                </c:pt>
                <c:pt idx="353">
                  <c:v>2.3021496948928442</c:v>
                </c:pt>
                <c:pt idx="354">
                  <c:v>2.3063392460565582</c:v>
                </c:pt>
                <c:pt idx="355">
                  <c:v>2.3108587215066958</c:v>
                </c:pt>
                <c:pt idx="356">
                  <c:v>2.3156422171142208</c:v>
                </c:pt>
                <c:pt idx="357">
                  <c:v>2.3206199787416826</c:v>
                </c:pt>
                <c:pt idx="358">
                  <c:v>2.3257194194156092</c:v>
                </c:pt>
                <c:pt idx="359">
                  <c:v>2.3308661778080353</c:v>
                </c:pt>
                <c:pt idx="360">
                  <c:v>2.3359852025921071</c:v>
                </c:pt>
                <c:pt idx="361">
                  <c:v>2.3410018468594345</c:v>
                </c:pt>
                <c:pt idx="362">
                  <c:v>2.3458429566401002</c:v>
                </c:pt>
                <c:pt idx="363">
                  <c:v>2.3504379376522713</c:v>
                </c:pt>
                <c:pt idx="364">
                  <c:v>2.3547197847257957</c:v>
                </c:pt>
                <c:pt idx="365">
                  <c:v>2.35862605888846</c:v>
                </c:pt>
                <c:pt idx="366">
                  <c:v>2.362099797866811</c:v>
                </c:pt>
                <c:pt idx="367">
                  <c:v>2.3650903467243638</c:v>
                </c:pt>
                <c:pt idx="368">
                  <c:v>2.3675540965246467</c:v>
                </c:pt>
                <c:pt idx="369">
                  <c:v>2.3694551202476903</c:v>
                </c:pt>
                <c:pt idx="370">
                  <c:v>2.3707656966868784</c:v>
                </c:pt>
                <c:pt idx="371">
                  <c:v>2.3714667146865684</c:v>
                </c:pt>
                <c:pt idx="372">
                  <c:v>2.3715479518257694</c:v>
                </c:pt>
                <c:pt idx="373">
                  <c:v>2.3710082234840608</c:v>
                </c:pt>
                <c:pt idx="374">
                  <c:v>2.3698554001160281</c:v>
                </c:pt>
                <c:pt idx="375">
                  <c:v>2.3681062924823086</c:v>
                </c:pt>
                <c:pt idx="376">
                  <c:v>2.3657864065108494</c:v>
                </c:pt>
                <c:pt idx="377">
                  <c:v>2.3629295713630434</c:v>
                </c:pt>
                <c:pt idx="378">
                  <c:v>2.3595774461283776</c:v>
                </c:pt>
                <c:pt idx="379">
                  <c:v>2.3557789123411017</c:v>
                </c:pt>
                <c:pt idx="380">
                  <c:v>2.3515893611773877</c:v>
                </c:pt>
                <c:pt idx="381">
                  <c:v>2.3470698857272501</c:v>
                </c:pt>
                <c:pt idx="382">
                  <c:v>2.3422863901197251</c:v>
                </c:pt>
                <c:pt idx="383">
                  <c:v>2.3373086284922628</c:v>
                </c:pt>
                <c:pt idx="384">
                  <c:v>2.3322091878183362</c:v>
                </c:pt>
                <c:pt idx="385">
                  <c:v>2.3270624294259106</c:v>
                </c:pt>
                <c:pt idx="386">
                  <c:v>2.3219434046418388</c:v>
                </c:pt>
                <c:pt idx="387">
                  <c:v>2.3169267603745114</c:v>
                </c:pt>
                <c:pt idx="388">
                  <c:v>2.3120856505938461</c:v>
                </c:pt>
                <c:pt idx="389">
                  <c:v>2.3074906695816746</c:v>
                </c:pt>
                <c:pt idx="390">
                  <c:v>2.3032088225081502</c:v>
                </c:pt>
                <c:pt idx="391">
                  <c:v>2.2993025483454859</c:v>
                </c:pt>
                <c:pt idx="392">
                  <c:v>2.2958288093671353</c:v>
                </c:pt>
                <c:pt idx="393">
                  <c:v>2.2928382605095821</c:v>
                </c:pt>
                <c:pt idx="394">
                  <c:v>2.2903745107092992</c:v>
                </c:pt>
                <c:pt idx="395">
                  <c:v>2.288473486986256</c:v>
                </c:pt>
                <c:pt idx="396">
                  <c:v>2.2871629105470674</c:v>
                </c:pt>
                <c:pt idx="397">
                  <c:v>2.286461892547377</c:v>
                </c:pt>
                <c:pt idx="398">
                  <c:v>2.2863806554081765</c:v>
                </c:pt>
                <c:pt idx="399">
                  <c:v>2.286920383749885</c:v>
                </c:pt>
                <c:pt idx="400">
                  <c:v>2.2880732071179177</c:v>
                </c:pt>
                <c:pt idx="401">
                  <c:v>2.2898223147516372</c:v>
                </c:pt>
                <c:pt idx="402">
                  <c:v>2.2921422007230965</c:v>
                </c:pt>
                <c:pt idx="403">
                  <c:v>2.2949990358709025</c:v>
                </c:pt>
                <c:pt idx="404">
                  <c:v>2.2983511611055683</c:v>
                </c:pt>
                <c:pt idx="405">
                  <c:v>2.3021496948928442</c:v>
                </c:pt>
                <c:pt idx="406">
                  <c:v>2.3063392460565582</c:v>
                </c:pt>
                <c:pt idx="407">
                  <c:v>2.3108587215066954</c:v>
                </c:pt>
                <c:pt idx="408">
                  <c:v>2.3156422171142212</c:v>
                </c:pt>
                <c:pt idx="409">
                  <c:v>2.3206199787416826</c:v>
                </c:pt>
                <c:pt idx="410">
                  <c:v>2.3257194194156097</c:v>
                </c:pt>
                <c:pt idx="411">
                  <c:v>2.3308661778080353</c:v>
                </c:pt>
                <c:pt idx="412">
                  <c:v>2.3359852025921075</c:v>
                </c:pt>
                <c:pt idx="413">
                  <c:v>2.3410018468594345</c:v>
                </c:pt>
                <c:pt idx="414">
                  <c:v>2.3458429566400998</c:v>
                </c:pt>
                <c:pt idx="415">
                  <c:v>2.3504379376522713</c:v>
                </c:pt>
                <c:pt idx="416">
                  <c:v>2.3547197847257957</c:v>
                </c:pt>
                <c:pt idx="417">
                  <c:v>2.3586260588884604</c:v>
                </c:pt>
                <c:pt idx="418">
                  <c:v>2.3620997978668106</c:v>
                </c:pt>
                <c:pt idx="419">
                  <c:v>2.3650903467243642</c:v>
                </c:pt>
                <c:pt idx="420">
                  <c:v>2.3675540965246467</c:v>
                </c:pt>
                <c:pt idx="421">
                  <c:v>2.3694551202476903</c:v>
                </c:pt>
                <c:pt idx="422">
                  <c:v>2.3707656966868789</c:v>
                </c:pt>
                <c:pt idx="423">
                  <c:v>2.3714667146865684</c:v>
                </c:pt>
                <c:pt idx="424">
                  <c:v>2.3715479518257694</c:v>
                </c:pt>
                <c:pt idx="425">
                  <c:v>2.3710082234840608</c:v>
                </c:pt>
                <c:pt idx="426">
                  <c:v>2.3698554001160277</c:v>
                </c:pt>
                <c:pt idx="427">
                  <c:v>2.3681062924823086</c:v>
                </c:pt>
                <c:pt idx="428">
                  <c:v>2.3657864065108494</c:v>
                </c:pt>
                <c:pt idx="429">
                  <c:v>2.3629295713630434</c:v>
                </c:pt>
                <c:pt idx="430">
                  <c:v>2.3595774461283772</c:v>
                </c:pt>
                <c:pt idx="431">
                  <c:v>2.3557789123411017</c:v>
                </c:pt>
                <c:pt idx="432">
                  <c:v>2.3515893611773877</c:v>
                </c:pt>
                <c:pt idx="433">
                  <c:v>2.3470698857272505</c:v>
                </c:pt>
                <c:pt idx="434">
                  <c:v>2.3422863901197246</c:v>
                </c:pt>
                <c:pt idx="435">
                  <c:v>2.3373086284922633</c:v>
                </c:pt>
                <c:pt idx="436">
                  <c:v>2.3322091878183362</c:v>
                </c:pt>
                <c:pt idx="437">
                  <c:v>2.3270624294259101</c:v>
                </c:pt>
                <c:pt idx="438">
                  <c:v>2.3219434046418388</c:v>
                </c:pt>
                <c:pt idx="439">
                  <c:v>2.3169267603745114</c:v>
                </c:pt>
                <c:pt idx="440">
                  <c:v>2.3120856505938461</c:v>
                </c:pt>
                <c:pt idx="441">
                  <c:v>2.3074906695816746</c:v>
                </c:pt>
                <c:pt idx="442">
                  <c:v>2.3032088225081506</c:v>
                </c:pt>
                <c:pt idx="443">
                  <c:v>2.2993025483454859</c:v>
                </c:pt>
                <c:pt idx="444">
                  <c:v>2.2958288093671353</c:v>
                </c:pt>
                <c:pt idx="445">
                  <c:v>2.2928382605095816</c:v>
                </c:pt>
                <c:pt idx="446">
                  <c:v>2.2903745107092992</c:v>
                </c:pt>
                <c:pt idx="447">
                  <c:v>2.288473486986256</c:v>
                </c:pt>
                <c:pt idx="448">
                  <c:v>2.287162910547067</c:v>
                </c:pt>
                <c:pt idx="449">
                  <c:v>2.2864618925473774</c:v>
                </c:pt>
                <c:pt idx="450">
                  <c:v>2.2863806554081765</c:v>
                </c:pt>
                <c:pt idx="451">
                  <c:v>2.286920383749885</c:v>
                </c:pt>
                <c:pt idx="452">
                  <c:v>2.2880732071179177</c:v>
                </c:pt>
                <c:pt idx="453">
                  <c:v>2.2898223147516372</c:v>
                </c:pt>
                <c:pt idx="454">
                  <c:v>2.2921422007230965</c:v>
                </c:pt>
                <c:pt idx="455">
                  <c:v>2.2949990358709025</c:v>
                </c:pt>
                <c:pt idx="456">
                  <c:v>2.2983511611055687</c:v>
                </c:pt>
                <c:pt idx="457">
                  <c:v>2.3021496948928442</c:v>
                </c:pt>
                <c:pt idx="458">
                  <c:v>2.3063392460565582</c:v>
                </c:pt>
                <c:pt idx="459">
                  <c:v>2.3108587215066958</c:v>
                </c:pt>
                <c:pt idx="460">
                  <c:v>2.3156422171142208</c:v>
                </c:pt>
                <c:pt idx="461">
                  <c:v>2.3206199787416826</c:v>
                </c:pt>
                <c:pt idx="462">
                  <c:v>2.3257194194156097</c:v>
                </c:pt>
                <c:pt idx="463">
                  <c:v>2.3308661778080353</c:v>
                </c:pt>
                <c:pt idx="464">
                  <c:v>2.3359852025921071</c:v>
                </c:pt>
                <c:pt idx="465">
                  <c:v>2.3410018468594345</c:v>
                </c:pt>
                <c:pt idx="466">
                  <c:v>2.3458429566400998</c:v>
                </c:pt>
                <c:pt idx="467">
                  <c:v>2.3504379376522713</c:v>
                </c:pt>
                <c:pt idx="468">
                  <c:v>2.3547197847257952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C-4B1A-895C-7A6D087CB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14367"/>
        <c:axId val="814309087"/>
      </c:lineChart>
      <c:dateAx>
        <c:axId val="8143143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09087"/>
        <c:crosses val="autoZero"/>
        <c:auto val="1"/>
        <c:lblOffset val="100"/>
        <c:baseTimeUnit val="days"/>
      </c:dateAx>
      <c:valAx>
        <c:axId val="814309087"/>
        <c:scaling>
          <c:orientation val="minMax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1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'excess mortality linear model'!$I$1</c:f>
              <c:strCache>
                <c:ptCount val="1"/>
                <c:pt idx="0">
                  <c:v>Residuals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'excess mortality linear model'!$A$2:$A$470</c:f>
              <c:numCache>
                <c:formatCode>m/d/yyyy</c:formatCode>
                <c:ptCount val="469"/>
                <c:pt idx="0">
                  <c:v>42009</c:v>
                </c:pt>
                <c:pt idx="1">
                  <c:v>42016</c:v>
                </c:pt>
                <c:pt idx="2">
                  <c:v>42023</c:v>
                </c:pt>
                <c:pt idx="3">
                  <c:v>42030</c:v>
                </c:pt>
                <c:pt idx="4">
                  <c:v>42037</c:v>
                </c:pt>
                <c:pt idx="5">
                  <c:v>42044</c:v>
                </c:pt>
                <c:pt idx="6">
                  <c:v>42051</c:v>
                </c:pt>
                <c:pt idx="7">
                  <c:v>42058</c:v>
                </c:pt>
                <c:pt idx="8">
                  <c:v>42065</c:v>
                </c:pt>
                <c:pt idx="9">
                  <c:v>42072</c:v>
                </c:pt>
                <c:pt idx="10">
                  <c:v>42079</c:v>
                </c:pt>
                <c:pt idx="11">
                  <c:v>42086</c:v>
                </c:pt>
                <c:pt idx="12">
                  <c:v>42093</c:v>
                </c:pt>
                <c:pt idx="13">
                  <c:v>42100</c:v>
                </c:pt>
                <c:pt idx="14">
                  <c:v>42107</c:v>
                </c:pt>
                <c:pt idx="15">
                  <c:v>42114</c:v>
                </c:pt>
                <c:pt idx="16">
                  <c:v>42121</c:v>
                </c:pt>
                <c:pt idx="17">
                  <c:v>42128</c:v>
                </c:pt>
                <c:pt idx="18">
                  <c:v>42135</c:v>
                </c:pt>
                <c:pt idx="19">
                  <c:v>42142</c:v>
                </c:pt>
                <c:pt idx="20">
                  <c:v>42149</c:v>
                </c:pt>
                <c:pt idx="21">
                  <c:v>42156</c:v>
                </c:pt>
                <c:pt idx="22">
                  <c:v>42163</c:v>
                </c:pt>
                <c:pt idx="23">
                  <c:v>42170</c:v>
                </c:pt>
                <c:pt idx="24">
                  <c:v>42177</c:v>
                </c:pt>
                <c:pt idx="25">
                  <c:v>42184</c:v>
                </c:pt>
                <c:pt idx="26">
                  <c:v>42191</c:v>
                </c:pt>
                <c:pt idx="27">
                  <c:v>42198</c:v>
                </c:pt>
                <c:pt idx="28">
                  <c:v>42205</c:v>
                </c:pt>
                <c:pt idx="29">
                  <c:v>42212</c:v>
                </c:pt>
                <c:pt idx="30">
                  <c:v>42219</c:v>
                </c:pt>
                <c:pt idx="31">
                  <c:v>42226</c:v>
                </c:pt>
                <c:pt idx="32">
                  <c:v>42233</c:v>
                </c:pt>
                <c:pt idx="33">
                  <c:v>42240</c:v>
                </c:pt>
                <c:pt idx="34">
                  <c:v>42247</c:v>
                </c:pt>
                <c:pt idx="35">
                  <c:v>42254</c:v>
                </c:pt>
                <c:pt idx="36">
                  <c:v>42261</c:v>
                </c:pt>
                <c:pt idx="37">
                  <c:v>42268</c:v>
                </c:pt>
                <c:pt idx="38">
                  <c:v>42275</c:v>
                </c:pt>
                <c:pt idx="39">
                  <c:v>42282</c:v>
                </c:pt>
                <c:pt idx="40">
                  <c:v>42289</c:v>
                </c:pt>
                <c:pt idx="41">
                  <c:v>42296</c:v>
                </c:pt>
                <c:pt idx="42">
                  <c:v>42303</c:v>
                </c:pt>
                <c:pt idx="43">
                  <c:v>42310</c:v>
                </c:pt>
                <c:pt idx="44">
                  <c:v>42317</c:v>
                </c:pt>
                <c:pt idx="45">
                  <c:v>42324</c:v>
                </c:pt>
                <c:pt idx="46">
                  <c:v>42331</c:v>
                </c:pt>
                <c:pt idx="47">
                  <c:v>42338</c:v>
                </c:pt>
                <c:pt idx="48">
                  <c:v>42345</c:v>
                </c:pt>
                <c:pt idx="49">
                  <c:v>42352</c:v>
                </c:pt>
                <c:pt idx="50">
                  <c:v>42359</c:v>
                </c:pt>
                <c:pt idx="51">
                  <c:v>42366</c:v>
                </c:pt>
                <c:pt idx="52">
                  <c:v>42373</c:v>
                </c:pt>
                <c:pt idx="53">
                  <c:v>42380</c:v>
                </c:pt>
                <c:pt idx="54">
                  <c:v>42387</c:v>
                </c:pt>
                <c:pt idx="55">
                  <c:v>42394</c:v>
                </c:pt>
                <c:pt idx="56">
                  <c:v>42401</c:v>
                </c:pt>
                <c:pt idx="57">
                  <c:v>42408</c:v>
                </c:pt>
                <c:pt idx="58">
                  <c:v>42415</c:v>
                </c:pt>
                <c:pt idx="59">
                  <c:v>42422</c:v>
                </c:pt>
                <c:pt idx="60">
                  <c:v>42429</c:v>
                </c:pt>
                <c:pt idx="61">
                  <c:v>42436</c:v>
                </c:pt>
                <c:pt idx="62">
                  <c:v>42443</c:v>
                </c:pt>
                <c:pt idx="63">
                  <c:v>42450</c:v>
                </c:pt>
                <c:pt idx="64">
                  <c:v>42457</c:v>
                </c:pt>
                <c:pt idx="65">
                  <c:v>42464</c:v>
                </c:pt>
                <c:pt idx="66">
                  <c:v>42471</c:v>
                </c:pt>
                <c:pt idx="67">
                  <c:v>42478</c:v>
                </c:pt>
                <c:pt idx="68">
                  <c:v>42485</c:v>
                </c:pt>
                <c:pt idx="69">
                  <c:v>42492</c:v>
                </c:pt>
                <c:pt idx="70">
                  <c:v>42499</c:v>
                </c:pt>
                <c:pt idx="71">
                  <c:v>42506</c:v>
                </c:pt>
                <c:pt idx="72">
                  <c:v>42513</c:v>
                </c:pt>
                <c:pt idx="73">
                  <c:v>42520</c:v>
                </c:pt>
                <c:pt idx="74">
                  <c:v>42527</c:v>
                </c:pt>
                <c:pt idx="75">
                  <c:v>42534</c:v>
                </c:pt>
                <c:pt idx="76">
                  <c:v>42541</c:v>
                </c:pt>
                <c:pt idx="77">
                  <c:v>42548</c:v>
                </c:pt>
                <c:pt idx="78">
                  <c:v>42555</c:v>
                </c:pt>
                <c:pt idx="79">
                  <c:v>42562</c:v>
                </c:pt>
                <c:pt idx="80">
                  <c:v>42569</c:v>
                </c:pt>
                <c:pt idx="81">
                  <c:v>42576</c:v>
                </c:pt>
                <c:pt idx="82">
                  <c:v>42583</c:v>
                </c:pt>
                <c:pt idx="83">
                  <c:v>42590</c:v>
                </c:pt>
                <c:pt idx="84">
                  <c:v>42597</c:v>
                </c:pt>
                <c:pt idx="85">
                  <c:v>42604</c:v>
                </c:pt>
                <c:pt idx="86">
                  <c:v>42611</c:v>
                </c:pt>
                <c:pt idx="87">
                  <c:v>42618</c:v>
                </c:pt>
                <c:pt idx="88">
                  <c:v>42625</c:v>
                </c:pt>
                <c:pt idx="89">
                  <c:v>42632</c:v>
                </c:pt>
                <c:pt idx="90">
                  <c:v>42639</c:v>
                </c:pt>
                <c:pt idx="91">
                  <c:v>42646</c:v>
                </c:pt>
                <c:pt idx="92">
                  <c:v>42653</c:v>
                </c:pt>
                <c:pt idx="93">
                  <c:v>42660</c:v>
                </c:pt>
                <c:pt idx="94">
                  <c:v>42667</c:v>
                </c:pt>
                <c:pt idx="95">
                  <c:v>42674</c:v>
                </c:pt>
                <c:pt idx="96">
                  <c:v>42681</c:v>
                </c:pt>
                <c:pt idx="97">
                  <c:v>42688</c:v>
                </c:pt>
                <c:pt idx="98">
                  <c:v>42695</c:v>
                </c:pt>
                <c:pt idx="99">
                  <c:v>42702</c:v>
                </c:pt>
                <c:pt idx="100">
                  <c:v>42709</c:v>
                </c:pt>
                <c:pt idx="101">
                  <c:v>42716</c:v>
                </c:pt>
                <c:pt idx="102">
                  <c:v>42723</c:v>
                </c:pt>
                <c:pt idx="103">
                  <c:v>42730</c:v>
                </c:pt>
                <c:pt idx="104">
                  <c:v>42737</c:v>
                </c:pt>
                <c:pt idx="105">
                  <c:v>42744</c:v>
                </c:pt>
                <c:pt idx="106">
                  <c:v>42751</c:v>
                </c:pt>
                <c:pt idx="107">
                  <c:v>42758</c:v>
                </c:pt>
                <c:pt idx="108">
                  <c:v>42765</c:v>
                </c:pt>
                <c:pt idx="109">
                  <c:v>42772</c:v>
                </c:pt>
                <c:pt idx="110">
                  <c:v>42779</c:v>
                </c:pt>
                <c:pt idx="111">
                  <c:v>42786</c:v>
                </c:pt>
                <c:pt idx="112">
                  <c:v>42793</c:v>
                </c:pt>
                <c:pt idx="113">
                  <c:v>42800</c:v>
                </c:pt>
                <c:pt idx="114">
                  <c:v>42807</c:v>
                </c:pt>
                <c:pt idx="115">
                  <c:v>42814</c:v>
                </c:pt>
                <c:pt idx="116">
                  <c:v>42821</c:v>
                </c:pt>
                <c:pt idx="117">
                  <c:v>42828</c:v>
                </c:pt>
                <c:pt idx="118">
                  <c:v>42835</c:v>
                </c:pt>
                <c:pt idx="119">
                  <c:v>42842</c:v>
                </c:pt>
                <c:pt idx="120">
                  <c:v>42849</c:v>
                </c:pt>
                <c:pt idx="121">
                  <c:v>42856</c:v>
                </c:pt>
                <c:pt idx="122">
                  <c:v>42863</c:v>
                </c:pt>
                <c:pt idx="123">
                  <c:v>42870</c:v>
                </c:pt>
                <c:pt idx="124">
                  <c:v>42877</c:v>
                </c:pt>
                <c:pt idx="125">
                  <c:v>42884</c:v>
                </c:pt>
                <c:pt idx="126">
                  <c:v>42891</c:v>
                </c:pt>
                <c:pt idx="127">
                  <c:v>42898</c:v>
                </c:pt>
                <c:pt idx="128">
                  <c:v>42905</c:v>
                </c:pt>
                <c:pt idx="129">
                  <c:v>42912</c:v>
                </c:pt>
                <c:pt idx="130">
                  <c:v>42919</c:v>
                </c:pt>
                <c:pt idx="131">
                  <c:v>42926</c:v>
                </c:pt>
                <c:pt idx="132">
                  <c:v>42933</c:v>
                </c:pt>
                <c:pt idx="133">
                  <c:v>42940</c:v>
                </c:pt>
                <c:pt idx="134">
                  <c:v>42947</c:v>
                </c:pt>
                <c:pt idx="135">
                  <c:v>42954</c:v>
                </c:pt>
                <c:pt idx="136">
                  <c:v>42961</c:v>
                </c:pt>
                <c:pt idx="137">
                  <c:v>42968</c:v>
                </c:pt>
                <c:pt idx="138">
                  <c:v>42975</c:v>
                </c:pt>
                <c:pt idx="139">
                  <c:v>42982</c:v>
                </c:pt>
                <c:pt idx="140">
                  <c:v>42989</c:v>
                </c:pt>
                <c:pt idx="141">
                  <c:v>42996</c:v>
                </c:pt>
                <c:pt idx="142">
                  <c:v>43003</c:v>
                </c:pt>
                <c:pt idx="143">
                  <c:v>43010</c:v>
                </c:pt>
                <c:pt idx="144">
                  <c:v>43017</c:v>
                </c:pt>
                <c:pt idx="145">
                  <c:v>43024</c:v>
                </c:pt>
                <c:pt idx="146">
                  <c:v>43031</c:v>
                </c:pt>
                <c:pt idx="147">
                  <c:v>43038</c:v>
                </c:pt>
                <c:pt idx="148">
                  <c:v>43045</c:v>
                </c:pt>
                <c:pt idx="149">
                  <c:v>43052</c:v>
                </c:pt>
                <c:pt idx="150">
                  <c:v>43059</c:v>
                </c:pt>
                <c:pt idx="151">
                  <c:v>43066</c:v>
                </c:pt>
                <c:pt idx="152">
                  <c:v>43073</c:v>
                </c:pt>
                <c:pt idx="153">
                  <c:v>43080</c:v>
                </c:pt>
                <c:pt idx="154">
                  <c:v>43087</c:v>
                </c:pt>
                <c:pt idx="155">
                  <c:v>43094</c:v>
                </c:pt>
                <c:pt idx="156">
                  <c:v>43101</c:v>
                </c:pt>
                <c:pt idx="157">
                  <c:v>43108</c:v>
                </c:pt>
                <c:pt idx="158">
                  <c:v>43115</c:v>
                </c:pt>
                <c:pt idx="159">
                  <c:v>43122</c:v>
                </c:pt>
                <c:pt idx="160">
                  <c:v>43129</c:v>
                </c:pt>
                <c:pt idx="161">
                  <c:v>43136</c:v>
                </c:pt>
                <c:pt idx="162">
                  <c:v>43143</c:v>
                </c:pt>
                <c:pt idx="163">
                  <c:v>43150</c:v>
                </c:pt>
                <c:pt idx="164">
                  <c:v>43157</c:v>
                </c:pt>
                <c:pt idx="165">
                  <c:v>43164</c:v>
                </c:pt>
                <c:pt idx="166">
                  <c:v>43171</c:v>
                </c:pt>
                <c:pt idx="167">
                  <c:v>43178</c:v>
                </c:pt>
                <c:pt idx="168">
                  <c:v>43185</c:v>
                </c:pt>
                <c:pt idx="169">
                  <c:v>43192</c:v>
                </c:pt>
                <c:pt idx="170">
                  <c:v>43199</c:v>
                </c:pt>
                <c:pt idx="171">
                  <c:v>43206</c:v>
                </c:pt>
                <c:pt idx="172">
                  <c:v>43213</c:v>
                </c:pt>
                <c:pt idx="173">
                  <c:v>43220</c:v>
                </c:pt>
                <c:pt idx="174">
                  <c:v>43227</c:v>
                </c:pt>
                <c:pt idx="175">
                  <c:v>43234</c:v>
                </c:pt>
                <c:pt idx="176">
                  <c:v>43241</c:v>
                </c:pt>
                <c:pt idx="177">
                  <c:v>43248</c:v>
                </c:pt>
                <c:pt idx="178">
                  <c:v>43255</c:v>
                </c:pt>
                <c:pt idx="179">
                  <c:v>43262</c:v>
                </c:pt>
                <c:pt idx="180">
                  <c:v>43269</c:v>
                </c:pt>
                <c:pt idx="181">
                  <c:v>43276</c:v>
                </c:pt>
                <c:pt idx="182">
                  <c:v>43283</c:v>
                </c:pt>
                <c:pt idx="183">
                  <c:v>43290</c:v>
                </c:pt>
                <c:pt idx="184">
                  <c:v>43297</c:v>
                </c:pt>
                <c:pt idx="185">
                  <c:v>43304</c:v>
                </c:pt>
                <c:pt idx="186">
                  <c:v>43311</c:v>
                </c:pt>
                <c:pt idx="187">
                  <c:v>43318</c:v>
                </c:pt>
                <c:pt idx="188">
                  <c:v>43325</c:v>
                </c:pt>
                <c:pt idx="189">
                  <c:v>43332</c:v>
                </c:pt>
                <c:pt idx="190">
                  <c:v>43339</c:v>
                </c:pt>
                <c:pt idx="191">
                  <c:v>43346</c:v>
                </c:pt>
                <c:pt idx="192">
                  <c:v>43353</c:v>
                </c:pt>
                <c:pt idx="193">
                  <c:v>43360</c:v>
                </c:pt>
                <c:pt idx="194">
                  <c:v>43367</c:v>
                </c:pt>
                <c:pt idx="195">
                  <c:v>43374</c:v>
                </c:pt>
                <c:pt idx="196">
                  <c:v>43381</c:v>
                </c:pt>
                <c:pt idx="197">
                  <c:v>43388</c:v>
                </c:pt>
                <c:pt idx="198">
                  <c:v>43395</c:v>
                </c:pt>
                <c:pt idx="199">
                  <c:v>43402</c:v>
                </c:pt>
                <c:pt idx="200">
                  <c:v>43409</c:v>
                </c:pt>
                <c:pt idx="201">
                  <c:v>43416</c:v>
                </c:pt>
                <c:pt idx="202">
                  <c:v>43423</c:v>
                </c:pt>
                <c:pt idx="203">
                  <c:v>43430</c:v>
                </c:pt>
                <c:pt idx="204">
                  <c:v>43437</c:v>
                </c:pt>
                <c:pt idx="205">
                  <c:v>43444</c:v>
                </c:pt>
                <c:pt idx="206">
                  <c:v>43451</c:v>
                </c:pt>
                <c:pt idx="207">
                  <c:v>43458</c:v>
                </c:pt>
                <c:pt idx="208">
                  <c:v>43465</c:v>
                </c:pt>
                <c:pt idx="209">
                  <c:v>43472</c:v>
                </c:pt>
                <c:pt idx="210">
                  <c:v>43479</c:v>
                </c:pt>
                <c:pt idx="211">
                  <c:v>43486</c:v>
                </c:pt>
                <c:pt idx="212">
                  <c:v>43493</c:v>
                </c:pt>
                <c:pt idx="213">
                  <c:v>43500</c:v>
                </c:pt>
                <c:pt idx="214">
                  <c:v>43507</c:v>
                </c:pt>
                <c:pt idx="215">
                  <c:v>43514</c:v>
                </c:pt>
                <c:pt idx="216">
                  <c:v>43521</c:v>
                </c:pt>
                <c:pt idx="217">
                  <c:v>43528</c:v>
                </c:pt>
                <c:pt idx="218">
                  <c:v>43535</c:v>
                </c:pt>
                <c:pt idx="219">
                  <c:v>43542</c:v>
                </c:pt>
                <c:pt idx="220">
                  <c:v>43549</c:v>
                </c:pt>
                <c:pt idx="221">
                  <c:v>43556</c:v>
                </c:pt>
                <c:pt idx="222">
                  <c:v>43563</c:v>
                </c:pt>
                <c:pt idx="223">
                  <c:v>43570</c:v>
                </c:pt>
                <c:pt idx="224">
                  <c:v>43577</c:v>
                </c:pt>
                <c:pt idx="225">
                  <c:v>43584</c:v>
                </c:pt>
                <c:pt idx="226">
                  <c:v>43591</c:v>
                </c:pt>
                <c:pt idx="227">
                  <c:v>43598</c:v>
                </c:pt>
                <c:pt idx="228">
                  <c:v>43605</c:v>
                </c:pt>
                <c:pt idx="229">
                  <c:v>43612</c:v>
                </c:pt>
                <c:pt idx="230">
                  <c:v>43619</c:v>
                </c:pt>
                <c:pt idx="231">
                  <c:v>43626</c:v>
                </c:pt>
                <c:pt idx="232">
                  <c:v>43633</c:v>
                </c:pt>
                <c:pt idx="233">
                  <c:v>43640</c:v>
                </c:pt>
                <c:pt idx="234">
                  <c:v>43647</c:v>
                </c:pt>
                <c:pt idx="235">
                  <c:v>43654</c:v>
                </c:pt>
                <c:pt idx="236">
                  <c:v>43661</c:v>
                </c:pt>
                <c:pt idx="237">
                  <c:v>43668</c:v>
                </c:pt>
                <c:pt idx="238">
                  <c:v>43675</c:v>
                </c:pt>
                <c:pt idx="239">
                  <c:v>43682</c:v>
                </c:pt>
                <c:pt idx="240">
                  <c:v>43689</c:v>
                </c:pt>
                <c:pt idx="241">
                  <c:v>43696</c:v>
                </c:pt>
                <c:pt idx="242">
                  <c:v>43703</c:v>
                </c:pt>
                <c:pt idx="243">
                  <c:v>43710</c:v>
                </c:pt>
                <c:pt idx="244">
                  <c:v>43717</c:v>
                </c:pt>
                <c:pt idx="245">
                  <c:v>43724</c:v>
                </c:pt>
                <c:pt idx="246">
                  <c:v>43731</c:v>
                </c:pt>
                <c:pt idx="247">
                  <c:v>43738</c:v>
                </c:pt>
                <c:pt idx="248">
                  <c:v>43745</c:v>
                </c:pt>
                <c:pt idx="249">
                  <c:v>43752</c:v>
                </c:pt>
                <c:pt idx="250">
                  <c:v>43759</c:v>
                </c:pt>
                <c:pt idx="251">
                  <c:v>43766</c:v>
                </c:pt>
                <c:pt idx="252">
                  <c:v>43773</c:v>
                </c:pt>
                <c:pt idx="253">
                  <c:v>43780</c:v>
                </c:pt>
                <c:pt idx="254">
                  <c:v>43787</c:v>
                </c:pt>
                <c:pt idx="255">
                  <c:v>43794</c:v>
                </c:pt>
                <c:pt idx="256">
                  <c:v>43801</c:v>
                </c:pt>
                <c:pt idx="257">
                  <c:v>43808</c:v>
                </c:pt>
                <c:pt idx="258">
                  <c:v>43815</c:v>
                </c:pt>
                <c:pt idx="259">
                  <c:v>43822</c:v>
                </c:pt>
                <c:pt idx="260">
                  <c:v>43829</c:v>
                </c:pt>
                <c:pt idx="261">
                  <c:v>43836</c:v>
                </c:pt>
                <c:pt idx="262">
                  <c:v>43843</c:v>
                </c:pt>
                <c:pt idx="263">
                  <c:v>43850</c:v>
                </c:pt>
                <c:pt idx="264">
                  <c:v>43857</c:v>
                </c:pt>
                <c:pt idx="265">
                  <c:v>43864</c:v>
                </c:pt>
                <c:pt idx="266">
                  <c:v>43871</c:v>
                </c:pt>
                <c:pt idx="267">
                  <c:v>43878</c:v>
                </c:pt>
                <c:pt idx="268">
                  <c:v>43885</c:v>
                </c:pt>
                <c:pt idx="269">
                  <c:v>43892</c:v>
                </c:pt>
                <c:pt idx="270">
                  <c:v>43899</c:v>
                </c:pt>
                <c:pt idx="271">
                  <c:v>43906</c:v>
                </c:pt>
                <c:pt idx="272">
                  <c:v>43913</c:v>
                </c:pt>
                <c:pt idx="273">
                  <c:v>43920</c:v>
                </c:pt>
                <c:pt idx="274">
                  <c:v>43927</c:v>
                </c:pt>
                <c:pt idx="275">
                  <c:v>43934</c:v>
                </c:pt>
                <c:pt idx="276">
                  <c:v>43941</c:v>
                </c:pt>
                <c:pt idx="277">
                  <c:v>43948</c:v>
                </c:pt>
                <c:pt idx="278">
                  <c:v>43955</c:v>
                </c:pt>
                <c:pt idx="279">
                  <c:v>43962</c:v>
                </c:pt>
                <c:pt idx="280">
                  <c:v>43969</c:v>
                </c:pt>
                <c:pt idx="281">
                  <c:v>43976</c:v>
                </c:pt>
                <c:pt idx="282">
                  <c:v>43983</c:v>
                </c:pt>
                <c:pt idx="283">
                  <c:v>43990</c:v>
                </c:pt>
                <c:pt idx="284">
                  <c:v>43997</c:v>
                </c:pt>
                <c:pt idx="285">
                  <c:v>44004</c:v>
                </c:pt>
                <c:pt idx="286">
                  <c:v>44011</c:v>
                </c:pt>
                <c:pt idx="287">
                  <c:v>44018</c:v>
                </c:pt>
                <c:pt idx="288">
                  <c:v>44025</c:v>
                </c:pt>
                <c:pt idx="289">
                  <c:v>44032</c:v>
                </c:pt>
                <c:pt idx="290">
                  <c:v>44039</c:v>
                </c:pt>
                <c:pt idx="291">
                  <c:v>44046</c:v>
                </c:pt>
                <c:pt idx="292">
                  <c:v>44053</c:v>
                </c:pt>
                <c:pt idx="293">
                  <c:v>44060</c:v>
                </c:pt>
                <c:pt idx="294">
                  <c:v>44067</c:v>
                </c:pt>
                <c:pt idx="295">
                  <c:v>44074</c:v>
                </c:pt>
                <c:pt idx="296">
                  <c:v>44081</c:v>
                </c:pt>
                <c:pt idx="297">
                  <c:v>44088</c:v>
                </c:pt>
                <c:pt idx="298">
                  <c:v>44095</c:v>
                </c:pt>
                <c:pt idx="299">
                  <c:v>44102</c:v>
                </c:pt>
                <c:pt idx="300">
                  <c:v>44109</c:v>
                </c:pt>
                <c:pt idx="301">
                  <c:v>44116</c:v>
                </c:pt>
                <c:pt idx="302">
                  <c:v>44123</c:v>
                </c:pt>
                <c:pt idx="303">
                  <c:v>44130</c:v>
                </c:pt>
                <c:pt idx="304">
                  <c:v>44137</c:v>
                </c:pt>
                <c:pt idx="305">
                  <c:v>44144</c:v>
                </c:pt>
                <c:pt idx="306">
                  <c:v>44151</c:v>
                </c:pt>
                <c:pt idx="307">
                  <c:v>44158</c:v>
                </c:pt>
                <c:pt idx="308">
                  <c:v>44165</c:v>
                </c:pt>
                <c:pt idx="309">
                  <c:v>44172</c:v>
                </c:pt>
                <c:pt idx="310">
                  <c:v>44179</c:v>
                </c:pt>
                <c:pt idx="311">
                  <c:v>44186</c:v>
                </c:pt>
                <c:pt idx="312">
                  <c:v>44193</c:v>
                </c:pt>
                <c:pt idx="313">
                  <c:v>44200</c:v>
                </c:pt>
                <c:pt idx="314">
                  <c:v>44207</c:v>
                </c:pt>
                <c:pt idx="315">
                  <c:v>44214</c:v>
                </c:pt>
                <c:pt idx="316">
                  <c:v>44221</c:v>
                </c:pt>
                <c:pt idx="317">
                  <c:v>44228</c:v>
                </c:pt>
                <c:pt idx="318">
                  <c:v>44235</c:v>
                </c:pt>
                <c:pt idx="319">
                  <c:v>44242</c:v>
                </c:pt>
                <c:pt idx="320">
                  <c:v>44249</c:v>
                </c:pt>
                <c:pt idx="321">
                  <c:v>44256</c:v>
                </c:pt>
                <c:pt idx="322">
                  <c:v>44263</c:v>
                </c:pt>
                <c:pt idx="323">
                  <c:v>44270</c:v>
                </c:pt>
                <c:pt idx="324">
                  <c:v>44277</c:v>
                </c:pt>
                <c:pt idx="325">
                  <c:v>44284</c:v>
                </c:pt>
                <c:pt idx="326">
                  <c:v>44291</c:v>
                </c:pt>
                <c:pt idx="327">
                  <c:v>44298</c:v>
                </c:pt>
                <c:pt idx="328">
                  <c:v>44305</c:v>
                </c:pt>
                <c:pt idx="329">
                  <c:v>44312</c:v>
                </c:pt>
                <c:pt idx="330">
                  <c:v>44319</c:v>
                </c:pt>
                <c:pt idx="331">
                  <c:v>44326</c:v>
                </c:pt>
                <c:pt idx="332">
                  <c:v>44333</c:v>
                </c:pt>
                <c:pt idx="333">
                  <c:v>44340</c:v>
                </c:pt>
                <c:pt idx="334">
                  <c:v>44347</c:v>
                </c:pt>
                <c:pt idx="335">
                  <c:v>44354</c:v>
                </c:pt>
                <c:pt idx="336">
                  <c:v>44361</c:v>
                </c:pt>
                <c:pt idx="337">
                  <c:v>44368</c:v>
                </c:pt>
                <c:pt idx="338">
                  <c:v>44375</c:v>
                </c:pt>
                <c:pt idx="339">
                  <c:v>44382</c:v>
                </c:pt>
                <c:pt idx="340">
                  <c:v>44389</c:v>
                </c:pt>
                <c:pt idx="341">
                  <c:v>44396</c:v>
                </c:pt>
                <c:pt idx="342">
                  <c:v>44403</c:v>
                </c:pt>
                <c:pt idx="343">
                  <c:v>44410</c:v>
                </c:pt>
                <c:pt idx="344">
                  <c:v>44417</c:v>
                </c:pt>
                <c:pt idx="345">
                  <c:v>44424</c:v>
                </c:pt>
                <c:pt idx="346">
                  <c:v>44431</c:v>
                </c:pt>
                <c:pt idx="347">
                  <c:v>44438</c:v>
                </c:pt>
                <c:pt idx="348">
                  <c:v>44445</c:v>
                </c:pt>
                <c:pt idx="349">
                  <c:v>44452</c:v>
                </c:pt>
                <c:pt idx="350">
                  <c:v>44459</c:v>
                </c:pt>
                <c:pt idx="351">
                  <c:v>44466</c:v>
                </c:pt>
                <c:pt idx="352">
                  <c:v>44473</c:v>
                </c:pt>
                <c:pt idx="353">
                  <c:v>44480</c:v>
                </c:pt>
                <c:pt idx="354">
                  <c:v>44487</c:v>
                </c:pt>
                <c:pt idx="355">
                  <c:v>44494</c:v>
                </c:pt>
                <c:pt idx="356">
                  <c:v>44501</c:v>
                </c:pt>
                <c:pt idx="357">
                  <c:v>44508</c:v>
                </c:pt>
                <c:pt idx="358">
                  <c:v>44515</c:v>
                </c:pt>
                <c:pt idx="359">
                  <c:v>44522</c:v>
                </c:pt>
                <c:pt idx="360">
                  <c:v>44529</c:v>
                </c:pt>
                <c:pt idx="361">
                  <c:v>44536</c:v>
                </c:pt>
                <c:pt idx="362">
                  <c:v>44543</c:v>
                </c:pt>
                <c:pt idx="363">
                  <c:v>44550</c:v>
                </c:pt>
                <c:pt idx="364">
                  <c:v>44557</c:v>
                </c:pt>
                <c:pt idx="365">
                  <c:v>44564</c:v>
                </c:pt>
                <c:pt idx="366">
                  <c:v>44571</c:v>
                </c:pt>
                <c:pt idx="367">
                  <c:v>44578</c:v>
                </c:pt>
                <c:pt idx="368">
                  <c:v>44585</c:v>
                </c:pt>
                <c:pt idx="369">
                  <c:v>44592</c:v>
                </c:pt>
                <c:pt idx="370">
                  <c:v>44599</c:v>
                </c:pt>
                <c:pt idx="371">
                  <c:v>44606</c:v>
                </c:pt>
                <c:pt idx="372">
                  <c:v>44613</c:v>
                </c:pt>
                <c:pt idx="373">
                  <c:v>44620</c:v>
                </c:pt>
                <c:pt idx="374">
                  <c:v>44627</c:v>
                </c:pt>
                <c:pt idx="375">
                  <c:v>44634</c:v>
                </c:pt>
                <c:pt idx="376">
                  <c:v>44641</c:v>
                </c:pt>
                <c:pt idx="377">
                  <c:v>44648</c:v>
                </c:pt>
                <c:pt idx="378">
                  <c:v>44655</c:v>
                </c:pt>
                <c:pt idx="379">
                  <c:v>44662</c:v>
                </c:pt>
                <c:pt idx="380">
                  <c:v>44669</c:v>
                </c:pt>
                <c:pt idx="381">
                  <c:v>44676</c:v>
                </c:pt>
                <c:pt idx="382">
                  <c:v>44683</c:v>
                </c:pt>
                <c:pt idx="383">
                  <c:v>44690</c:v>
                </c:pt>
                <c:pt idx="384">
                  <c:v>44697</c:v>
                </c:pt>
                <c:pt idx="385">
                  <c:v>44704</c:v>
                </c:pt>
                <c:pt idx="386">
                  <c:v>44711</c:v>
                </c:pt>
                <c:pt idx="387">
                  <c:v>44718</c:v>
                </c:pt>
                <c:pt idx="388">
                  <c:v>44725</c:v>
                </c:pt>
                <c:pt idx="389">
                  <c:v>44732</c:v>
                </c:pt>
                <c:pt idx="390">
                  <c:v>44739</c:v>
                </c:pt>
                <c:pt idx="391">
                  <c:v>44746</c:v>
                </c:pt>
                <c:pt idx="392">
                  <c:v>44753</c:v>
                </c:pt>
                <c:pt idx="393">
                  <c:v>44760</c:v>
                </c:pt>
                <c:pt idx="394">
                  <c:v>44767</c:v>
                </c:pt>
                <c:pt idx="395">
                  <c:v>44774</c:v>
                </c:pt>
                <c:pt idx="396">
                  <c:v>44781</c:v>
                </c:pt>
                <c:pt idx="397">
                  <c:v>44788</c:v>
                </c:pt>
                <c:pt idx="398">
                  <c:v>44795</c:v>
                </c:pt>
                <c:pt idx="399">
                  <c:v>44802</c:v>
                </c:pt>
                <c:pt idx="400">
                  <c:v>44809</c:v>
                </c:pt>
                <c:pt idx="401">
                  <c:v>44816</c:v>
                </c:pt>
                <c:pt idx="402">
                  <c:v>44823</c:v>
                </c:pt>
                <c:pt idx="403">
                  <c:v>44830</c:v>
                </c:pt>
                <c:pt idx="404">
                  <c:v>44837</c:v>
                </c:pt>
                <c:pt idx="405">
                  <c:v>44844</c:v>
                </c:pt>
                <c:pt idx="406">
                  <c:v>44851</c:v>
                </c:pt>
                <c:pt idx="407">
                  <c:v>44858</c:v>
                </c:pt>
                <c:pt idx="408">
                  <c:v>44865</c:v>
                </c:pt>
                <c:pt idx="409">
                  <c:v>44872</c:v>
                </c:pt>
                <c:pt idx="410">
                  <c:v>44879</c:v>
                </c:pt>
                <c:pt idx="411">
                  <c:v>44886</c:v>
                </c:pt>
                <c:pt idx="412">
                  <c:v>44893</c:v>
                </c:pt>
                <c:pt idx="413">
                  <c:v>44900</c:v>
                </c:pt>
                <c:pt idx="414">
                  <c:v>44907</c:v>
                </c:pt>
                <c:pt idx="415">
                  <c:v>44914</c:v>
                </c:pt>
                <c:pt idx="416">
                  <c:v>44921</c:v>
                </c:pt>
                <c:pt idx="417">
                  <c:v>44928</c:v>
                </c:pt>
                <c:pt idx="418">
                  <c:v>44935</c:v>
                </c:pt>
                <c:pt idx="419">
                  <c:v>44942</c:v>
                </c:pt>
                <c:pt idx="420">
                  <c:v>44949</c:v>
                </c:pt>
                <c:pt idx="421">
                  <c:v>44956</c:v>
                </c:pt>
                <c:pt idx="422">
                  <c:v>44963</c:v>
                </c:pt>
                <c:pt idx="423">
                  <c:v>44970</c:v>
                </c:pt>
                <c:pt idx="424">
                  <c:v>44977</c:v>
                </c:pt>
                <c:pt idx="425">
                  <c:v>44984</c:v>
                </c:pt>
                <c:pt idx="426">
                  <c:v>44991</c:v>
                </c:pt>
                <c:pt idx="427">
                  <c:v>44998</c:v>
                </c:pt>
                <c:pt idx="428">
                  <c:v>45005</c:v>
                </c:pt>
                <c:pt idx="429">
                  <c:v>45012</c:v>
                </c:pt>
                <c:pt idx="430">
                  <c:v>45019</c:v>
                </c:pt>
                <c:pt idx="431">
                  <c:v>45026</c:v>
                </c:pt>
                <c:pt idx="432">
                  <c:v>45033</c:v>
                </c:pt>
                <c:pt idx="433">
                  <c:v>45040</c:v>
                </c:pt>
                <c:pt idx="434">
                  <c:v>45047</c:v>
                </c:pt>
                <c:pt idx="435">
                  <c:v>45054</c:v>
                </c:pt>
                <c:pt idx="436">
                  <c:v>45061</c:v>
                </c:pt>
                <c:pt idx="437">
                  <c:v>45068</c:v>
                </c:pt>
                <c:pt idx="438">
                  <c:v>45075</c:v>
                </c:pt>
                <c:pt idx="439">
                  <c:v>45082</c:v>
                </c:pt>
                <c:pt idx="440">
                  <c:v>45089</c:v>
                </c:pt>
                <c:pt idx="441">
                  <c:v>45096</c:v>
                </c:pt>
                <c:pt idx="442">
                  <c:v>45103</c:v>
                </c:pt>
                <c:pt idx="443">
                  <c:v>45110</c:v>
                </c:pt>
                <c:pt idx="444">
                  <c:v>45117</c:v>
                </c:pt>
                <c:pt idx="445">
                  <c:v>45124</c:v>
                </c:pt>
                <c:pt idx="446">
                  <c:v>45131</c:v>
                </c:pt>
                <c:pt idx="447">
                  <c:v>45138</c:v>
                </c:pt>
                <c:pt idx="448">
                  <c:v>45145</c:v>
                </c:pt>
                <c:pt idx="449">
                  <c:v>45152</c:v>
                </c:pt>
                <c:pt idx="450">
                  <c:v>45159</c:v>
                </c:pt>
                <c:pt idx="451">
                  <c:v>45166</c:v>
                </c:pt>
                <c:pt idx="452">
                  <c:v>45173</c:v>
                </c:pt>
                <c:pt idx="453">
                  <c:v>45180</c:v>
                </c:pt>
                <c:pt idx="454">
                  <c:v>45187</c:v>
                </c:pt>
                <c:pt idx="455">
                  <c:v>45194</c:v>
                </c:pt>
                <c:pt idx="456">
                  <c:v>45201</c:v>
                </c:pt>
                <c:pt idx="457">
                  <c:v>45208</c:v>
                </c:pt>
                <c:pt idx="458">
                  <c:v>45215</c:v>
                </c:pt>
                <c:pt idx="459">
                  <c:v>45222</c:v>
                </c:pt>
                <c:pt idx="460">
                  <c:v>45229</c:v>
                </c:pt>
                <c:pt idx="461">
                  <c:v>45236</c:v>
                </c:pt>
                <c:pt idx="462">
                  <c:v>45243</c:v>
                </c:pt>
                <c:pt idx="463">
                  <c:v>45250</c:v>
                </c:pt>
                <c:pt idx="464">
                  <c:v>45257</c:v>
                </c:pt>
                <c:pt idx="465">
                  <c:v>45264</c:v>
                </c:pt>
                <c:pt idx="466">
                  <c:v>45271</c:v>
                </c:pt>
                <c:pt idx="467">
                  <c:v>45278</c:v>
                </c:pt>
                <c:pt idx="468">
                  <c:v>45285</c:v>
                </c:pt>
              </c:numCache>
            </c:numRef>
          </c:cat>
          <c:val>
            <c:numRef>
              <c:f>'excess mortality linear model'!$I$2:$I$470</c:f>
              <c:numCache>
                <c:formatCode>General</c:formatCode>
                <c:ptCount val="469"/>
                <c:pt idx="0">
                  <c:v>0.10832502186334292</c:v>
                </c:pt>
                <c:pt idx="1">
                  <c:v>2.6732492740004332E-2</c:v>
                </c:pt>
                <c:pt idx="2">
                  <c:v>8.9565462978828947E-2</c:v>
                </c:pt>
                <c:pt idx="3">
                  <c:v>5.6748930271567133E-2</c:v>
                </c:pt>
                <c:pt idx="4">
                  <c:v>0.11560899877190423</c:v>
                </c:pt>
                <c:pt idx="5">
                  <c:v>0.11011874402541677</c:v>
                </c:pt>
                <c:pt idx="6">
                  <c:v>8.472597201181431E-2</c:v>
                </c:pt>
                <c:pt idx="7">
                  <c:v>9.7157969283406587E-2</c:v>
                </c:pt>
                <c:pt idx="8">
                  <c:v>7.6256888206632123E-2</c:v>
                </c:pt>
                <c:pt idx="9">
                  <c:v>5.2884459142929163E-2</c:v>
                </c:pt>
                <c:pt idx="10">
                  <c:v>8.7347888299382781E-3</c:v>
                </c:pt>
                <c:pt idx="11">
                  <c:v>-2.2576204422263046E-2</c:v>
                </c:pt>
                <c:pt idx="12">
                  <c:v>3.2800410851370643E-2</c:v>
                </c:pt>
                <c:pt idx="13">
                  <c:v>-3.4923828286530512E-2</c:v>
                </c:pt>
                <c:pt idx="14">
                  <c:v>-1.1600622121244353E-2</c:v>
                </c:pt>
                <c:pt idx="15">
                  <c:v>-1.0248824281056113E-2</c:v>
                </c:pt>
                <c:pt idx="16">
                  <c:v>-3.1316068331565639E-2</c:v>
                </c:pt>
                <c:pt idx="17">
                  <c:v>3.3399669508820118E-3</c:v>
                </c:pt>
                <c:pt idx="18">
                  <c:v>-7.7412233673310293E-2</c:v>
                </c:pt>
                <c:pt idx="19">
                  <c:v>-4.9420108623732695E-2</c:v>
                </c:pt>
                <c:pt idx="20">
                  <c:v>-1.6562557279438117E-3</c:v>
                </c:pt>
                <c:pt idx="21">
                  <c:v>-4.4814176910072945E-2</c:v>
                </c:pt>
                <c:pt idx="22">
                  <c:v>6.062338434674519E-3</c:v>
                </c:pt>
                <c:pt idx="23">
                  <c:v>-7.1823342723149608E-3</c:v>
                </c:pt>
                <c:pt idx="24">
                  <c:v>-3.2685240950834693E-2</c:v>
                </c:pt>
                <c:pt idx="25">
                  <c:v>7.7867882046790182E-2</c:v>
                </c:pt>
                <c:pt idx="26">
                  <c:v>5.9165822199624962E-2</c:v>
                </c:pt>
                <c:pt idx="27">
                  <c:v>-4.0377724412271832E-2</c:v>
                </c:pt>
                <c:pt idx="28">
                  <c:v>-3.6903985433921704E-2</c:v>
                </c:pt>
                <c:pt idx="29">
                  <c:v>2.4826649228712139E-2</c:v>
                </c:pt>
                <c:pt idx="30">
                  <c:v>9.0483539692489234E-2</c:v>
                </c:pt>
                <c:pt idx="31">
                  <c:v>4.9829871212168086E-3</c:v>
                </c:pt>
                <c:pt idx="32">
                  <c:v>-4.9727002447592206E-2</c:v>
                </c:pt>
                <c:pt idx="33">
                  <c:v>4.9141032279656827E-2</c:v>
                </c:pt>
                <c:pt idx="34">
                  <c:v>1.8002042321911826E-2</c:v>
                </c:pt>
                <c:pt idx="35">
                  <c:v>-1.6177293639372259E-2</c:v>
                </c:pt>
                <c:pt idx="36">
                  <c:v>-1.8468724938758285E-4</c:v>
                </c:pt>
                <c:pt idx="37">
                  <c:v>1.1854489602526108E-2</c:v>
                </c:pt>
                <c:pt idx="38">
                  <c:v>5.0927288789292202E-2</c:v>
                </c:pt>
                <c:pt idx="39">
                  <c:v>6.2629173812410954E-2</c:v>
                </c:pt>
                <c:pt idx="40">
                  <c:v>1.9313748632725058E-2</c:v>
                </c:pt>
                <c:pt idx="41">
                  <c:v>4.5827129114288656E-2</c:v>
                </c:pt>
                <c:pt idx="42">
                  <c:v>8.70151985558687E-3</c:v>
                </c:pt>
                <c:pt idx="43">
                  <c:v>-1.1142954044989217E-3</c:v>
                </c:pt>
                <c:pt idx="44">
                  <c:v>1.4910714976171136E-2</c:v>
                </c:pt>
                <c:pt idx="45">
                  <c:v>6.4738572886782197E-2</c:v>
                </c:pt>
                <c:pt idx="46">
                  <c:v>1.7350070096779024E-2</c:v>
                </c:pt>
                <c:pt idx="47">
                  <c:v>-6.5992021361620523E-2</c:v>
                </c:pt>
                <c:pt idx="48">
                  <c:v>7.0842869202811798E-3</c:v>
                </c:pt>
                <c:pt idx="49">
                  <c:v>-5.0320426806734098E-2</c:v>
                </c:pt>
                <c:pt idx="50">
                  <c:v>-6.9309187648691761E-2</c:v>
                </c:pt>
                <c:pt idx="51">
                  <c:v>-4.0693511550074835E-2</c:v>
                </c:pt>
                <c:pt idx="52">
                  <c:v>-2.4166852635403302E-2</c:v>
                </c:pt>
                <c:pt idx="53">
                  <c:v>1.9964130057505969E-2</c:v>
                </c:pt>
                <c:pt idx="54">
                  <c:v>-4.4715881834971327E-3</c:v>
                </c:pt>
                <c:pt idx="55">
                  <c:v>2.2501086336392362E-2</c:v>
                </c:pt>
                <c:pt idx="56">
                  <c:v>1.3303953877141783E-2</c:v>
                </c:pt>
                <c:pt idx="57">
                  <c:v>-4.9181827401868272E-2</c:v>
                </c:pt>
                <c:pt idx="58">
                  <c:v>-5.3100786948584666E-2</c:v>
                </c:pt>
                <c:pt idx="59">
                  <c:v>9.391335715219995E-3</c:v>
                </c:pt>
                <c:pt idx="60">
                  <c:v>-4.4781859096141297E-3</c:v>
                </c:pt>
                <c:pt idx="61">
                  <c:v>1.4350328144403957E-2</c:v>
                </c:pt>
                <c:pt idx="62">
                  <c:v>1.3258730589984502E-2</c:v>
                </c:pt>
                <c:pt idx="63">
                  <c:v>9.4938514106829963E-2</c:v>
                </c:pt>
                <c:pt idx="64">
                  <c:v>-1.5376553832717299E-2</c:v>
                </c:pt>
                <c:pt idx="65">
                  <c:v>-6.9473097255571048E-2</c:v>
                </c:pt>
                <c:pt idx="66">
                  <c:v>-1.1600622121244353E-2</c:v>
                </c:pt>
                <c:pt idx="67">
                  <c:v>-5.369059662969633E-3</c:v>
                </c:pt>
                <c:pt idx="68">
                  <c:v>-2.8723257753286102E-2</c:v>
                </c:pt>
                <c:pt idx="69">
                  <c:v>-1.5397976672049118E-3</c:v>
                </c:pt>
                <c:pt idx="70">
                  <c:v>3.2436979403205335E-3</c:v>
                </c:pt>
                <c:pt idx="71">
                  <c:v>-7.5398951009587378E-2</c:v>
                </c:pt>
                <c:pt idx="72">
                  <c:v>8.7608078745127216E-4</c:v>
                </c:pt>
                <c:pt idx="73">
                  <c:v>-5.0528660434502548E-2</c:v>
                </c:pt>
                <c:pt idx="74">
                  <c:v>-6.0033727159162442E-2</c:v>
                </c:pt>
                <c:pt idx="75">
                  <c:v>3.1050063632621416E-2</c:v>
                </c:pt>
                <c:pt idx="76">
                  <c:v>-5.0138143529765422E-3</c:v>
                </c:pt>
                <c:pt idx="77">
                  <c:v>-1.9602149713144446E-2</c:v>
                </c:pt>
                <c:pt idx="78">
                  <c:v>-1.5320302639620031E-2</c:v>
                </c:pt>
                <c:pt idx="79">
                  <c:v>2.3742560086779108E-3</c:v>
                </c:pt>
                <c:pt idx="80">
                  <c:v>8.7285321338877342E-2</c:v>
                </c:pt>
                <c:pt idx="81">
                  <c:v>2.4826649228712139E-2</c:v>
                </c:pt>
                <c:pt idx="82">
                  <c:v>-3.4455196915810671E-2</c:v>
                </c:pt>
                <c:pt idx="83">
                  <c:v>3.1799805859566543E-2</c:v>
                </c:pt>
                <c:pt idx="84">
                  <c:v>-1.6419820436554655E-2</c:v>
                </c:pt>
                <c:pt idx="85">
                  <c:v>6.1514931459755395E-2</c:v>
                </c:pt>
                <c:pt idx="86">
                  <c:v>1.5078644603536695E-3</c:v>
                </c:pt>
                <c:pt idx="87">
                  <c:v>3.7610363028153238E-3</c:v>
                </c:pt>
                <c:pt idx="88">
                  <c:v>2.9591702620376026E-2</c:v>
                </c:pt>
                <c:pt idx="89">
                  <c:v>-6.8413852086312676E-2</c:v>
                </c:pt>
                <c:pt idx="90">
                  <c:v>2.2898565189048536E-2</c:v>
                </c:pt>
                <c:pt idx="91">
                  <c:v>-7.1105160023723357E-3</c:v>
                </c:pt>
                <c:pt idx="92">
                  <c:v>2.9654581970944172E-2</c:v>
                </c:pt>
                <c:pt idx="93">
                  <c:v>5.3085701674579155E-2</c:v>
                </c:pt>
                <c:pt idx="94">
                  <c:v>8.70151985558687E-3</c:v>
                </c:pt>
                <c:pt idx="95">
                  <c:v>4.1820444054492256E-3</c:v>
                </c:pt>
                <c:pt idx="96">
                  <c:v>6.7471913591791832E-2</c:v>
                </c:pt>
                <c:pt idx="97">
                  <c:v>5.5690443909385046E-2</c:v>
                </c:pt>
                <c:pt idx="98">
                  <c:v>4.1350346500545587E-2</c:v>
                </c:pt>
                <c:pt idx="99">
                  <c:v>4.9991872593753151E-2</c:v>
                </c:pt>
                <c:pt idx="100">
                  <c:v>1.19916214150253E-2</c:v>
                </c:pt>
                <c:pt idx="101">
                  <c:v>4.4356704769030308E-2</c:v>
                </c:pt>
                <c:pt idx="102">
                  <c:v>-4.9629047987438391E-2</c:v>
                </c:pt>
                <c:pt idx="103">
                  <c:v>9.1511157731078097E-2</c:v>
                </c:pt>
                <c:pt idx="104">
                  <c:v>3.9502227233974008E-2</c:v>
                </c:pt>
                <c:pt idx="105">
                  <c:v>9.8766245149666254E-2</c:v>
                </c:pt>
                <c:pt idx="106">
                  <c:v>7.1916757679957755E-2</c:v>
                </c:pt>
                <c:pt idx="107">
                  <c:v>7.291058981399301E-2</c:v>
                </c:pt>
                <c:pt idx="108">
                  <c:v>7.2425405995798275E-2</c:v>
                </c:pt>
                <c:pt idx="109">
                  <c:v>-9.4472088190222792E-3</c:v>
                </c:pt>
                <c:pt idx="110">
                  <c:v>1.4592854941586353E-2</c:v>
                </c:pt>
                <c:pt idx="111">
                  <c:v>2.0556333173263219E-2</c:v>
                </c:pt>
                <c:pt idx="112">
                  <c:v>-2.1495235910315991E-3</c:v>
                </c:pt>
                <c:pt idx="113">
                  <c:v>1.658320957669579E-2</c:v>
                </c:pt>
                <c:pt idx="114">
                  <c:v>-2.187857610889532E-2</c:v>
                </c:pt>
                <c:pt idx="115">
                  <c:v>-5.5705622736371918E-2</c:v>
                </c:pt>
                <c:pt idx="116">
                  <c:v>-5.338573676491265E-2</c:v>
                </c:pt>
                <c:pt idx="117">
                  <c:v>-9.8055414916628614E-2</c:v>
                </c:pt>
                <c:pt idx="118">
                  <c:v>-8.883435601786438E-2</c:v>
                </c:pt>
                <c:pt idx="119">
                  <c:v>-6.7890392472571559E-2</c:v>
                </c:pt>
                <c:pt idx="120">
                  <c:v>-6.3700841308857559E-2</c:v>
                </c:pt>
                <c:pt idx="121">
                  <c:v>3.3399669508820118E-3</c:v>
                </c:pt>
                <c:pt idx="122">
                  <c:v>7.8309939266363315E-4</c:v>
                </c:pt>
                <c:pt idx="123">
                  <c:v>7.9744148857541219E-4</c:v>
                </c:pt>
                <c:pt idx="124">
                  <c:v>-7.6289874024847659E-2</c:v>
                </c:pt>
                <c:pt idx="125">
                  <c:v>8.5404954011236711E-3</c:v>
                </c:pt>
                <c:pt idx="126">
                  <c:v>-0.10711528728783515</c:v>
                </c:pt>
                <c:pt idx="127">
                  <c:v>-2.6245340321811028E-2</c:v>
                </c:pt>
                <c:pt idx="128">
                  <c:v>4.554255908946736E-2</c:v>
                </c:pt>
                <c:pt idx="129">
                  <c:v>1.0174240156619163E-2</c:v>
                </c:pt>
                <c:pt idx="130">
                  <c:v>4.9620504293394596E-2</c:v>
                </c:pt>
                <c:pt idx="131">
                  <c:v>6.5426001755767071E-2</c:v>
                </c:pt>
                <c:pt idx="132">
                  <c:v>3.1251366515547829E-3</c:v>
                </c:pt>
                <c:pt idx="133">
                  <c:v>-5.2266638557247891E-2</c:v>
                </c:pt>
                <c:pt idx="134">
                  <c:v>5.8393979433621901E-3</c:v>
                </c:pt>
                <c:pt idx="135">
                  <c:v>1.8598349254614011E-2</c:v>
                </c:pt>
                <c:pt idx="136">
                  <c:v>6.2935635604053353E-3</c:v>
                </c:pt>
                <c:pt idx="137">
                  <c:v>8.2936535687360369E-2</c:v>
                </c:pt>
                <c:pt idx="138">
                  <c:v>7.0758186992958549E-3</c:v>
                </c:pt>
                <c:pt idx="139">
                  <c:v>5.3674486634648133E-2</c:v>
                </c:pt>
                <c:pt idx="140">
                  <c:v>-3.5180347954617108E-2</c:v>
                </c:pt>
                <c:pt idx="141">
                  <c:v>2.7842594986656533E-2</c:v>
                </c:pt>
                <c:pt idx="142">
                  <c:v>3.5863542353416378E-2</c:v>
                </c:pt>
                <c:pt idx="143">
                  <c:v>-4.8223101517284039E-2</c:v>
                </c:pt>
                <c:pt idx="144">
                  <c:v>4.4718328406819996E-2</c:v>
                </c:pt>
                <c:pt idx="145">
                  <c:v>4.8260157785287916E-2</c:v>
                </c:pt>
                <c:pt idx="146">
                  <c:v>8.70151985558687E-3</c:v>
                </c:pt>
                <c:pt idx="147">
                  <c:v>6.5451701144371821E-2</c:v>
                </c:pt>
                <c:pt idx="148">
                  <c:v>1.2363525962292066E-2</c:v>
                </c:pt>
                <c:pt idx="149">
                  <c:v>-1.3548142500813043E-2</c:v>
                </c:pt>
                <c:pt idx="150">
                  <c:v>1.4875450968923509E-2</c:v>
                </c:pt>
                <c:pt idx="151">
                  <c:v>-6.0123087697522504E-2</c:v>
                </c:pt>
                <c:pt idx="152">
                  <c:v>3.1084563324048187E-2</c:v>
                </c:pt>
                <c:pt idx="153">
                  <c:v>2.606791905672079E-2</c:v>
                </c:pt>
                <c:pt idx="154">
                  <c:v>4.5668960380322865E-3</c:v>
                </c:pt>
                <c:pt idx="155">
                  <c:v>-2.4611136451384574E-3</c:v>
                </c:pt>
                <c:pt idx="156">
                  <c:v>-1.4124914341262063E-2</c:v>
                </c:pt>
                <c:pt idx="157">
                  <c:v>-3.5759955464358839E-2</c:v>
                </c:pt>
                <c:pt idx="158">
                  <c:v>-1.4122973859677757E-2</c:v>
                </c:pt>
                <c:pt idx="159">
                  <c:v>-9.8549501569409337E-3</c:v>
                </c:pt>
                <c:pt idx="160">
                  <c:v>2.2258796530068015E-2</c:v>
                </c:pt>
                <c:pt idx="161">
                  <c:v>-1.4219723680267027E-2</c:v>
                </c:pt>
                <c:pt idx="162">
                  <c:v>2.7821120675341593E-2</c:v>
                </c:pt>
                <c:pt idx="163">
                  <c:v>-9.0920699787933046E-3</c:v>
                </c:pt>
                <c:pt idx="164">
                  <c:v>8.0117309019870131E-2</c:v>
                </c:pt>
                <c:pt idx="165">
                  <c:v>0.12622231969521591</c:v>
                </c:pt>
                <c:pt idx="166">
                  <c:v>2.8731417246191882E-2</c:v>
                </c:pt>
                <c:pt idx="167">
                  <c:v>5.1669823949849203E-2</c:v>
                </c:pt>
                <c:pt idx="168">
                  <c:v>-1.2957079709304598E-2</c:v>
                </c:pt>
                <c:pt idx="169">
                  <c:v>6.4688568716944062E-3</c:v>
                </c:pt>
                <c:pt idx="170">
                  <c:v>-3.9304153282555099E-2</c:v>
                </c:pt>
                <c:pt idx="171">
                  <c:v>-4.8707076100232172E-2</c:v>
                </c:pt>
                <c:pt idx="172">
                  <c:v>-6.3700841308857559E-2</c:v>
                </c:pt>
                <c:pt idx="173">
                  <c:v>-5.3613411619778173E-2</c:v>
                </c:pt>
                <c:pt idx="174">
                  <c:v>-6.5752621128317035E-2</c:v>
                </c:pt>
                <c:pt idx="175">
                  <c:v>-5.5060375976425657E-2</c:v>
                </c:pt>
                <c:pt idx="176">
                  <c:v>-7.6289874024847659E-2</c:v>
                </c:pt>
                <c:pt idx="177">
                  <c:v>2.8172967141512739E-2</c:v>
                </c:pt>
                <c:pt idx="178">
                  <c:v>-8.7666015787193352E-2</c:v>
                </c:pt>
                <c:pt idx="179">
                  <c:v>-7.3241902998034458E-2</c:v>
                </c:pt>
                <c:pt idx="180">
                  <c:v>-1.0408846239682745E-2</c:v>
                </c:pt>
                <c:pt idx="181">
                  <c:v>1.5375433842427011E-2</c:v>
                </c:pt>
                <c:pt idx="182">
                  <c:v>5.4419387175162814E-2</c:v>
                </c:pt>
                <c:pt idx="183">
                  <c:v>-5.8460742380130881E-3</c:v>
                </c:pt>
                <c:pt idx="184">
                  <c:v>1.6571860378801428E-2</c:v>
                </c:pt>
                <c:pt idx="185">
                  <c:v>4.0247008096205406E-2</c:v>
                </c:pt>
                <c:pt idx="186">
                  <c:v>1.1302293644864125E-2</c:v>
                </c:pt>
                <c:pt idx="187">
                  <c:v>9.9117946074501084E-2</c:v>
                </c:pt>
                <c:pt idx="188">
                  <c:v>5.8367177512978596E-2</c:v>
                </c:pt>
                <c:pt idx="189">
                  <c:v>-3.0542578753888883E-2</c:v>
                </c:pt>
                <c:pt idx="190">
                  <c:v>-4.2695798031699539E-2</c:v>
                </c:pt>
                <c:pt idx="191">
                  <c:v>4.3632548340507338E-2</c:v>
                </c:pt>
                <c:pt idx="192">
                  <c:v>-3.8228041036622695E-2</c:v>
                </c:pt>
                <c:pt idx="193">
                  <c:v>1.4560382978451081E-2</c:v>
                </c:pt>
                <c:pt idx="194">
                  <c:v>-3.0232523240420583E-2</c:v>
                </c:pt>
                <c:pt idx="195">
                  <c:v>-4.2106176707601861E-2</c:v>
                </c:pt>
                <c:pt idx="196">
                  <c:v>3.9754908875270445E-2</c:v>
                </c:pt>
                <c:pt idx="197">
                  <c:v>1.812359795297791E-2</c:v>
                </c:pt>
                <c:pt idx="198">
                  <c:v>-1.2882771949085825E-2</c:v>
                </c:pt>
                <c:pt idx="199">
                  <c:v>-4.0115631396183016E-2</c:v>
                </c:pt>
                <c:pt idx="200">
                  <c:v>-1.1259519384132943E-2</c:v>
                </c:pt>
                <c:pt idx="201">
                  <c:v>2.2449510770706116E-2</c:v>
                </c:pt>
                <c:pt idx="202">
                  <c:v>-4.347116689977204E-2</c:v>
                </c:pt>
                <c:pt idx="203">
                  <c:v>3.6203588108119966E-2</c:v>
                </c:pt>
                <c:pt idx="204">
                  <c:v>4.0325220058960554E-2</c:v>
                </c:pt>
                <c:pt idx="205">
                  <c:v>4.8811046195280205E-2</c:v>
                </c:pt>
                <c:pt idx="206">
                  <c:v>-5.2480862555666086E-3</c:v>
                </c:pt>
                <c:pt idx="207">
                  <c:v>-4.6055239922182967E-2</c:v>
                </c:pt>
                <c:pt idx="208">
                  <c:v>1.4678643508942102E-2</c:v>
                </c:pt>
                <c:pt idx="209">
                  <c:v>2.8965374172296166E-2</c:v>
                </c:pt>
                <c:pt idx="210">
                  <c:v>4.2953061744641197E-2</c:v>
                </c:pt>
                <c:pt idx="211">
                  <c:v>3.7817844420498403E-2</c:v>
                </c:pt>
                <c:pt idx="212">
                  <c:v>1.3303953877141783E-2</c:v>
                </c:pt>
                <c:pt idx="213">
                  <c:v>1.8136312813066269E-2</c:v>
                </c:pt>
                <c:pt idx="214">
                  <c:v>5.5447259641892011E-3</c:v>
                </c:pt>
                <c:pt idx="215">
                  <c:v>3.1441476458294204E-2</c:v>
                </c:pt>
                <c:pt idx="216">
                  <c:v>3.1360239319093264E-2</c:v>
                </c:pt>
                <c:pt idx="217">
                  <c:v>-1.6097952493230316E-3</c:v>
                </c:pt>
                <c:pt idx="218">
                  <c:v>-4.698929669192653E-2</c:v>
                </c:pt>
                <c:pt idx="219">
                  <c:v>-5.8361866380112204E-2</c:v>
                </c:pt>
                <c:pt idx="220">
                  <c:v>-1.5376553832717299E-2</c:v>
                </c:pt>
                <c:pt idx="221">
                  <c:v>-0.12549366326356814</c:v>
                </c:pt>
                <c:pt idx="222">
                  <c:v>-2.1471376147538468E-2</c:v>
                </c:pt>
                <c:pt idx="223">
                  <c:v>2.7335218364910929E-2</c:v>
                </c:pt>
                <c:pt idx="224">
                  <c:v>-2.6145834865475504E-2</c:v>
                </c:pt>
                <c:pt idx="225">
                  <c:v>-8.5160208244574154E-2</c:v>
                </c:pt>
                <c:pt idx="226">
                  <c:v>-2.7245624207580033E-2</c:v>
                </c:pt>
                <c:pt idx="227">
                  <c:v>-6.7556964018709031E-3</c:v>
                </c:pt>
                <c:pt idx="228">
                  <c:v>-3.5995279165674798E-2</c:v>
                </c:pt>
                <c:pt idx="229">
                  <c:v>3.4905026644818093E-3</c:v>
                </c:pt>
                <c:pt idx="230">
                  <c:v>3.5001216700734084E-3</c:v>
                </c:pt>
                <c:pt idx="231">
                  <c:v>-3.184921783980954E-2</c:v>
                </c:pt>
                <c:pt idx="232">
                  <c:v>-2.9837398078008448E-2</c:v>
                </c:pt>
                <c:pt idx="233">
                  <c:v>5.4883975126100548E-2</c:v>
                </c:pt>
                <c:pt idx="234">
                  <c:v>6.5356035940462576E-3</c:v>
                </c:pt>
                <c:pt idx="235">
                  <c:v>-3.4428391899070654E-2</c:v>
                </c:pt>
                <c:pt idx="236">
                  <c:v>-1.642839972412391E-2</c:v>
                </c:pt>
                <c:pt idx="237">
                  <c:v>0.14911083487376731</c:v>
                </c:pt>
                <c:pt idx="238">
                  <c:v>1.936991539289723E-2</c:v>
                </c:pt>
                <c:pt idx="239">
                  <c:v>4.963258299458273E-2</c:v>
                </c:pt>
                <c:pt idx="240">
                  <c:v>-4.6591288594733271E-2</c:v>
                </c:pt>
                <c:pt idx="241">
                  <c:v>1.2492053471313103E-2</c:v>
                </c:pt>
                <c:pt idx="242">
                  <c:v>2.866011050396855E-2</c:v>
                </c:pt>
                <c:pt idx="243">
                  <c:v>4.1085359326627824E-2</c:v>
                </c:pt>
                <c:pt idx="244">
                  <c:v>2.9591702620376026E-2</c:v>
                </c:pt>
                <c:pt idx="245">
                  <c:v>8.5910530106314553E-4</c:v>
                </c:pt>
                <c:pt idx="246">
                  <c:v>-2.4323663629900238E-2</c:v>
                </c:pt>
                <c:pt idx="247">
                  <c:v>7.2070730045252773E-2</c:v>
                </c:pt>
                <c:pt idx="248">
                  <c:v>-5.157522675194981E-2</c:v>
                </c:pt>
                <c:pt idx="249">
                  <c:v>-2.2749285249832774E-2</c:v>
                </c:pt>
                <c:pt idx="250">
                  <c:v>5.128896362675528E-2</c:v>
                </c:pt>
                <c:pt idx="251">
                  <c:v>9.4145713391262653E-3</c:v>
                </c:pt>
                <c:pt idx="252">
                  <c:v>-3.2415473682845253E-3</c:v>
                </c:pt>
                <c:pt idx="253">
                  <c:v>-4.6971897987762468E-2</c:v>
                </c:pt>
                <c:pt idx="254">
                  <c:v>2.4690433262522404E-2</c:v>
                </c:pt>
                <c:pt idx="255">
                  <c:v>-5.1465768165023906E-2</c:v>
                </c:pt>
                <c:pt idx="256">
                  <c:v>-6.233712183818696E-2</c:v>
                </c:pt>
                <c:pt idx="257">
                  <c:v>2.0676426529542269E-3</c:v>
                </c:pt>
                <c:pt idx="258">
                  <c:v>2.817566923138326E-2</c:v>
                </c:pt>
                <c:pt idx="259">
                  <c:v>-3.2773027913977515E-2</c:v>
                </c:pt>
                <c:pt idx="260">
                  <c:v>-1.890457924250466E-3</c:v>
                </c:pt>
                <c:pt idx="261">
                  <c:v>6.1024912127920494E-3</c:v>
                </c:pt>
                <c:pt idx="262">
                  <c:v>-3.9233694442708966E-2</c:v>
                </c:pt>
                <c:pt idx="263">
                  <c:v>-1.9560258664318653E-2</c:v>
                </c:pt>
                <c:pt idx="264">
                  <c:v>1.7804455103818118E-2</c:v>
                </c:pt>
                <c:pt idx="265">
                  <c:v>2.2595507142284532E-3</c:v>
                </c:pt>
                <c:pt idx="266">
                  <c:v>1.2348434019133769E-2</c:v>
                </c:pt>
                <c:pt idx="267">
                  <c:v>7.123474259397522E-3</c:v>
                </c:pt>
                <c:pt idx="268">
                  <c:v>4.7624708252982373E-3</c:v>
                </c:pt>
                <c:pt idx="269">
                  <c:v>5.3021991670068047E-3</c:v>
                </c:pt>
                <c:pt idx="270">
                  <c:v>1.3258730589984502E-2</c:v>
                </c:pt>
                <c:pt idx="271">
                  <c:v>0.13428424583586818</c:v>
                </c:pt>
                <c:pt idx="272">
                  <c:v>0.25159840896310826</c:v>
                </c:pt>
                <c:pt idx="273">
                  <c:v>0.41767428857404498</c:v>
                </c:pt>
                <c:pt idx="274">
                  <c:v>0.4497866046110528</c:v>
                </c:pt>
                <c:pt idx="275">
                  <c:v>0.31348674116582487</c:v>
                </c:pt>
                <c:pt idx="276">
                  <c:v>0.23592593994568567</c:v>
                </c:pt>
                <c:pt idx="277">
                  <c:v>0.12155479824272497</c:v>
                </c:pt>
                <c:pt idx="278">
                  <c:v>3.8571660282063824E-2</c:v>
                </c:pt>
                <c:pt idx="279">
                  <c:v>3.2862418922698922E-3</c:v>
                </c:pt>
                <c:pt idx="280">
                  <c:v>-6.7656615064239922E-3</c:v>
                </c:pt>
                <c:pt idx="281">
                  <c:v>-5.9243892332714321E-2</c:v>
                </c:pt>
                <c:pt idx="282">
                  <c:v>-5.7069248195424027E-2</c:v>
                </c:pt>
                <c:pt idx="283">
                  <c:v>-6.4033901211210775E-2</c:v>
                </c:pt>
                <c:pt idx="284">
                  <c:v>-4.134256048333329E-2</c:v>
                </c:pt>
                <c:pt idx="285">
                  <c:v>-3.1079718515862886E-3</c:v>
                </c:pt>
                <c:pt idx="286">
                  <c:v>-5.6432888154532179E-2</c:v>
                </c:pt>
                <c:pt idx="287">
                  <c:v>-0.10137518152968372</c:v>
                </c:pt>
                <c:pt idx="288">
                  <c:v>-5.2143951990658355E-2</c:v>
                </c:pt>
                <c:pt idx="289">
                  <c:v>6.1156855091084594E-3</c:v>
                </c:pt>
                <c:pt idx="290">
                  <c:v>-6.2483920516054337E-2</c:v>
                </c:pt>
                <c:pt idx="291">
                  <c:v>7.7404216664054282E-3</c:v>
                </c:pt>
                <c:pt idx="292">
                  <c:v>0.21006763263220929</c:v>
                </c:pt>
                <c:pt idx="293">
                  <c:v>0.12284879020661554</c:v>
                </c:pt>
                <c:pt idx="294">
                  <c:v>-8.8453288592374779E-2</c:v>
                </c:pt>
                <c:pt idx="295">
                  <c:v>9.6813611864510207E-4</c:v>
                </c:pt>
                <c:pt idx="296">
                  <c:v>-3.8228041036622695E-2</c:v>
                </c:pt>
                <c:pt idx="297">
                  <c:v>-1.6174233997717113E-2</c:v>
                </c:pt>
                <c:pt idx="298">
                  <c:v>-4.253680854566344E-3</c:v>
                </c:pt>
                <c:pt idx="299">
                  <c:v>6.6777684832608486E-3</c:v>
                </c:pt>
                <c:pt idx="300">
                  <c:v>6.4023483602206444E-2</c:v>
                </c:pt>
                <c:pt idx="301">
                  <c:v>4.5827129114288656E-2</c:v>
                </c:pt>
                <c:pt idx="302">
                  <c:v>0.1891575843137181</c:v>
                </c:pt>
                <c:pt idx="303">
                  <c:v>0.28638518280994729</c:v>
                </c:pt>
                <c:pt idx="304">
                  <c:v>0.29513220465195689</c:v>
                </c:pt>
                <c:pt idx="305">
                  <c:v>0.24528417336871344</c:v>
                </c:pt>
                <c:pt idx="306">
                  <c:v>0.21274648434784682</c:v>
                </c:pt>
                <c:pt idx="307">
                  <c:v>0.18499193520994872</c:v>
                </c:pt>
                <c:pt idx="308">
                  <c:v>3.5729468369811279E-2</c:v>
                </c:pt>
                <c:pt idx="309">
                  <c:v>0.10873749295016699</c:v>
                </c:pt>
                <c:pt idx="310">
                  <c:v>5.7065234504762863E-2</c:v>
                </c:pt>
                <c:pt idx="311">
                  <c:v>2.5872484998796352E-2</c:v>
                </c:pt>
                <c:pt idx="312">
                  <c:v>1.6994886236123108E-2</c:v>
                </c:pt>
                <c:pt idx="313">
                  <c:v>-1.803118850392682E-2</c:v>
                </c:pt>
                <c:pt idx="314">
                  <c:v>-7.7022255332109157E-2</c:v>
                </c:pt>
                <c:pt idx="315">
                  <c:v>-4.2224243300262643E-2</c:v>
                </c:pt>
                <c:pt idx="316">
                  <c:v>1.3303953877141783E-2</c:v>
                </c:pt>
                <c:pt idx="317">
                  <c:v>-4.4011593935778137E-2</c:v>
                </c:pt>
                <c:pt idx="318">
                  <c:v>-4.0212764596486039E-2</c:v>
                </c:pt>
                <c:pt idx="319">
                  <c:v>-5.6425948774423862E-2</c:v>
                </c:pt>
                <c:pt idx="320">
                  <c:v>-6.7165254095681082E-2</c:v>
                </c:pt>
                <c:pt idx="321">
                  <c:v>-2.3031399476928005E-2</c:v>
                </c:pt>
                <c:pt idx="322">
                  <c:v>-5.2190490377734378E-2</c:v>
                </c:pt>
                <c:pt idx="323">
                  <c:v>-3.0000222501469942E-2</c:v>
                </c:pt>
                <c:pt idx="324">
                  <c:v>-7.7897886642319225E-2</c:v>
                </c:pt>
                <c:pt idx="325">
                  <c:v>1.1089054508439666E-2</c:v>
                </c:pt>
                <c:pt idx="326">
                  <c:v>2.7971985793979748E-3</c:v>
                </c:pt>
                <c:pt idx="327">
                  <c:v>1.5935758620817086E-2</c:v>
                </c:pt>
                <c:pt idx="328">
                  <c:v>-1.8504092571600239E-2</c:v>
                </c:pt>
                <c:pt idx="329">
                  <c:v>1.7658664374001987E-2</c:v>
                </c:pt>
                <c:pt idx="330">
                  <c:v>0.10357529462667481</c:v>
                </c:pt>
                <c:pt idx="331">
                  <c:v>-6.3660547738342732E-2</c:v>
                </c:pt>
                <c:pt idx="332">
                  <c:v>-3.3255241799646118E-2</c:v>
                </c:pt>
                <c:pt idx="333">
                  <c:v>-1.7318003323713693E-2</c:v>
                </c:pt>
                <c:pt idx="334">
                  <c:v>-6.9026387296937664E-3</c:v>
                </c:pt>
                <c:pt idx="335">
                  <c:v>-4.6183670263998611E-2</c:v>
                </c:pt>
                <c:pt idx="336">
                  <c:v>2.8509219790687101E-2</c:v>
                </c:pt>
                <c:pt idx="337">
                  <c:v>-5.1571355788186057E-2</c:v>
                </c:pt>
                <c:pt idx="338">
                  <c:v>-2.0960569992312994E-2</c:v>
                </c:pt>
                <c:pt idx="339">
                  <c:v>-7.4640928282438956E-2</c:v>
                </c:pt>
                <c:pt idx="340">
                  <c:v>-6.1551420512489852E-2</c:v>
                </c:pt>
                <c:pt idx="341">
                  <c:v>-4.9497406410514699E-3</c:v>
                </c:pt>
                <c:pt idx="342">
                  <c:v>-2.8464833226623298E-2</c:v>
                </c:pt>
                <c:pt idx="343">
                  <c:v>1.0480459032434108E-2</c:v>
                </c:pt>
                <c:pt idx="344">
                  <c:v>6.2935635604053353E-3</c:v>
                </c:pt>
                <c:pt idx="345">
                  <c:v>-9.9281235559693926E-3</c:v>
                </c:pt>
                <c:pt idx="346">
                  <c:v>-4.1324028923388489E-3</c:v>
                </c:pt>
                <c:pt idx="347">
                  <c:v>-1.6177293639372259E-2</c:v>
                </c:pt>
                <c:pt idx="348">
                  <c:v>2.1671218984278706E-2</c:v>
                </c:pt>
                <c:pt idx="349">
                  <c:v>3.6341593558351093E-3</c:v>
                </c:pt>
                <c:pt idx="350">
                  <c:v>-1.8494119969176381E-2</c:v>
                </c:pt>
                <c:pt idx="351">
                  <c:v>2.0041730041242989E-2</c:v>
                </c:pt>
                <c:pt idx="352">
                  <c:v>3.2201770984823685E-2</c:v>
                </c:pt>
                <c:pt idx="353">
                  <c:v>5.0679631908700618E-2</c:v>
                </c:pt>
                <c:pt idx="354">
                  <c:v>5.3668665372109903E-2</c:v>
                </c:pt>
                <c:pt idx="355">
                  <c:v>7.6732711554060806E-2</c:v>
                </c:pt>
                <c:pt idx="356">
                  <c:v>2.2463852866617895E-2</c:v>
                </c:pt>
                <c:pt idx="357">
                  <c:v>4.8778449493055209E-2</c:v>
                </c:pt>
                <c:pt idx="358">
                  <c:v>6.630362844422244E-2</c:v>
                </c:pt>
                <c:pt idx="359">
                  <c:v>2.4369218759388023E-2</c:v>
                </c:pt>
                <c:pt idx="360">
                  <c:v>4.0325220058960554E-2</c:v>
                </c:pt>
                <c:pt idx="361">
                  <c:v>1.6626362823878971E-2</c:v>
                </c:pt>
                <c:pt idx="362">
                  <c:v>2.8175669231382816E-2</c:v>
                </c:pt>
                <c:pt idx="363">
                  <c:v>4.597196045567431E-2</c:v>
                </c:pt>
                <c:pt idx="364">
                  <c:v>5.0333074885656082E-2</c:v>
                </c:pt>
                <c:pt idx="365">
                  <c:v>4.6426800722991768E-2</c:v>
                </c:pt>
                <c:pt idx="366">
                  <c:v>-2.9014529261023547E-2</c:v>
                </c:pt>
                <c:pt idx="367">
                  <c:v>4.8436820430792782E-2</c:v>
                </c:pt>
                <c:pt idx="368">
                  <c:v>6.041649852278308E-2</c:v>
                </c:pt>
                <c:pt idx="369">
                  <c:v>7.6406564498709084E-2</c:v>
                </c:pt>
                <c:pt idx="370">
                  <c:v>4.6937411122414563E-2</c:v>
                </c:pt>
                <c:pt idx="371">
                  <c:v>-5.9066044940631723E-2</c:v>
                </c:pt>
                <c:pt idx="372">
                  <c:v>-9.2147542182758002E-2</c:v>
                </c:pt>
                <c:pt idx="373">
                  <c:v>-0.13991249341560463</c:v>
                </c:pt>
                <c:pt idx="374">
                  <c:v>3.9455282637964828E-2</c:v>
                </c:pt>
                <c:pt idx="375">
                  <c:v>3.6083784796101526E-3</c:v>
                </c:pt>
                <c:pt idx="376">
                  <c:v>-5.8714570269979838E-2</c:v>
                </c:pt>
                <c:pt idx="377">
                  <c:v>-1.4952747355910567E-2</c:v>
                </c:pt>
                <c:pt idx="378">
                  <c:v>-1.6507956615988917E-2</c:v>
                </c:pt>
                <c:pt idx="379">
                  <c:v>2.7335218364910929E-2</c:v>
                </c:pt>
                <c:pt idx="380">
                  <c:v>-1.1795084992556326E-3</c:v>
                </c:pt>
                <c:pt idx="381">
                  <c:v>-7.6326795616737275E-2</c:v>
                </c:pt>
                <c:pt idx="382">
                  <c:v>-1.6842863807812858E-2</c:v>
                </c:pt>
                <c:pt idx="383">
                  <c:v>-8.7463462410967807E-2</c:v>
                </c:pt>
                <c:pt idx="384">
                  <c:v>-2.782649008824789E-2</c:v>
                </c:pt>
                <c:pt idx="385">
                  <c:v>-5.9243892332714321E-2</c:v>
                </c:pt>
                <c:pt idx="386">
                  <c:v>-5.7069248195424027E-2</c:v>
                </c:pt>
                <c:pt idx="387">
                  <c:v>-4.6183670263998611E-2</c:v>
                </c:pt>
                <c:pt idx="388">
                  <c:v>1.0780452830255527E-2</c:v>
                </c:pt>
                <c:pt idx="389">
                  <c:v>7.5500963304704349E-3</c:v>
                </c:pt>
                <c:pt idx="390">
                  <c:v>-2.096056999231255E-2</c:v>
                </c:pt>
                <c:pt idx="391">
                  <c:v>-2.2768779354077839E-2</c:v>
                </c:pt>
                <c:pt idx="392">
                  <c:v>-5.2143951990658355E-2</c:v>
                </c:pt>
                <c:pt idx="393">
                  <c:v>0.10357163759836352</c:v>
                </c:pt>
                <c:pt idx="394">
                  <c:v>3.2491592714802398E-2</c:v>
                </c:pt>
                <c:pt idx="395">
                  <c:v>1.5909210743832336E-2</c:v>
                </c:pt>
                <c:pt idx="396">
                  <c:v>5.8367177512978152E-2</c:v>
                </c:pt>
                <c:pt idx="397">
                  <c:v>-1.5718802436864188E-2</c:v>
                </c:pt>
                <c:pt idx="398">
                  <c:v>2.6020014337760244E-2</c:v>
                </c:pt>
                <c:pt idx="399">
                  <c:v>-4.9484475650409809E-2</c:v>
                </c:pt>
                <c:pt idx="400">
                  <c:v>3.9932535958595139E-2</c:v>
                </c:pt>
                <c:pt idx="401">
                  <c:v>-3.6929455588336602E-2</c:v>
                </c:pt>
                <c:pt idx="402">
                  <c:v>-6.4251610529851622E-2</c:v>
                </c:pt>
                <c:pt idx="403">
                  <c:v>-2.1350955116982373E-2</c:v>
                </c:pt>
                <c:pt idx="404">
                  <c:v>5.4478165695976521E-2</c:v>
                </c:pt>
                <c:pt idx="405">
                  <c:v>-2.5615925901436132E-2</c:v>
                </c:pt>
                <c:pt idx="406">
                  <c:v>2.1666497019954711E-2</c:v>
                </c:pt>
                <c:pt idx="407">
                  <c:v>5.6211044409459898E-2</c:v>
                </c:pt>
                <c:pt idx="408">
                  <c:v>2.0226926240725085E-3</c:v>
                </c:pt>
                <c:pt idx="409">
                  <c:v>-5.5792128295375498E-3</c:v>
                </c:pt>
                <c:pt idx="410">
                  <c:v>-6.9800105622121134E-2</c:v>
                </c:pt>
                <c:pt idx="411">
                  <c:v>3.3862372293217202E-2</c:v>
                </c:pt>
                <c:pt idx="412">
                  <c:v>-7.9794595155946446E-3</c:v>
                </c:pt>
                <c:pt idx="413">
                  <c:v>-5.592430432473261E-2</c:v>
                </c:pt>
                <c:pt idx="414">
                  <c:v>7.8049725986890195E-2</c:v>
                </c:pt>
                <c:pt idx="415">
                  <c:v>0.11633474145611045</c:v>
                </c:pt>
                <c:pt idx="416">
                  <c:v>7.929677082097264E-2</c:v>
                </c:pt>
                <c:pt idx="417">
                  <c:v>6.5266623738529539E-2</c:v>
                </c:pt>
                <c:pt idx="418">
                  <c:v>8.5705042165590939E-2</c:v>
                </c:pt>
                <c:pt idx="419">
                  <c:v>-3.4537414633971864E-2</c:v>
                </c:pt>
                <c:pt idx="420">
                  <c:v>-6.8600150505956581E-2</c:v>
                </c:pt>
                <c:pt idx="421">
                  <c:v>-4.7265701464378473E-3</c:v>
                </c:pt>
                <c:pt idx="422">
                  <c:v>-1.3672684521410794E-3</c:v>
                </c:pt>
                <c:pt idx="423">
                  <c:v>-4.8600611262466842E-2</c:v>
                </c:pt>
                <c:pt idx="424">
                  <c:v>-7.2594005807079309E-2</c:v>
                </c:pt>
                <c:pt idx="425">
                  <c:v>-5.3343313745767063E-2</c:v>
                </c:pt>
                <c:pt idx="426">
                  <c:v>-4.184965703951482E-2</c:v>
                </c:pt>
                <c:pt idx="427">
                  <c:v>-5.5705622736371918E-2</c:v>
                </c:pt>
                <c:pt idx="428">
                  <c:v>-8.9252637519441347E-2</c:v>
                </c:pt>
                <c:pt idx="429">
                  <c:v>-1.4952747355910567E-2</c:v>
                </c:pt>
                <c:pt idx="430">
                  <c:v>-4.191253639008341E-2</c:v>
                </c:pt>
                <c:pt idx="431">
                  <c:v>-2.7773169264588837E-2</c:v>
                </c:pt>
                <c:pt idx="432">
                  <c:v>-5.537545252472631E-2</c:v>
                </c:pt>
                <c:pt idx="433">
                  <c:v>-2.6796592881428438E-2</c:v>
                </c:pt>
                <c:pt idx="434">
                  <c:v>-7.154330000921183E-2</c:v>
                </c:pt>
                <c:pt idx="435">
                  <c:v>7.9744148857541219E-4</c:v>
                </c:pt>
                <c:pt idx="436">
                  <c:v>-3.5995279165674798E-2</c:v>
                </c:pt>
                <c:pt idx="437">
                  <c:v>-0.10240080936286367</c:v>
                </c:pt>
                <c:pt idx="438">
                  <c:v>-4.8295323887918684E-2</c:v>
                </c:pt>
                <c:pt idx="439">
                  <c:v>-4.5260906285746749E-3</c:v>
                </c:pt>
                <c:pt idx="440">
                  <c:v>3.8324202084285997E-2</c:v>
                </c:pt>
                <c:pt idx="441">
                  <c:v>-0.13075260183581117</c:v>
                </c:pt>
                <c:pt idx="442">
                  <c:v>3.8630137327189118E-3</c:v>
                </c:pt>
                <c:pt idx="443">
                  <c:v>-2.2768779354077839E-2</c:v>
                </c:pt>
                <c:pt idx="444">
                  <c:v>-2.2180728613215184E-2</c:v>
                </c:pt>
                <c:pt idx="445">
                  <c:v>-4.2993094428286582E-2</c:v>
                </c:pt>
                <c:pt idx="446">
                  <c:v>-5.293860260982397E-2</c:v>
                </c:pt>
                <c:pt idx="447">
                  <c:v>-3.2554173192767433E-2</c:v>
                </c:pt>
                <c:pt idx="448">
                  <c:v>-4.0386976193448554E-2</c:v>
                </c:pt>
                <c:pt idx="449">
                  <c:v>-2.1587736100962651E-2</c:v>
                </c:pt>
                <c:pt idx="450">
                  <c:v>2.0691180832693057E-2</c:v>
                </c:pt>
                <c:pt idx="451">
                  <c:v>6.5360903575872875E-3</c:v>
                </c:pt>
                <c:pt idx="452">
                  <c:v>-5.8249546020801013E-3</c:v>
                </c:pt>
                <c:pt idx="453">
                  <c:v>6.3915939010241729E-3</c:v>
                </c:pt>
                <c:pt idx="454">
                  <c:v>-2.7268044276681724E-2</c:v>
                </c:pt>
                <c:pt idx="455">
                  <c:v>2.0041730041242545E-2</c:v>
                </c:pt>
                <c:pt idx="456">
                  <c:v>4.2243709278964481E-2</c:v>
                </c:pt>
                <c:pt idx="457">
                  <c:v>-1.426117502431401E-2</c:v>
                </c:pt>
                <c:pt idx="458">
                  <c:v>3.4255624327975021E-2</c:v>
                </c:pt>
                <c:pt idx="459">
                  <c:v>3.2210768005692891E-2</c:v>
                </c:pt>
                <c:pt idx="460">
                  <c:v>-1.6688271095530727E-2</c:v>
                </c:pt>
                <c:pt idx="461">
                  <c:v>7.3857643348302915E-3</c:v>
                </c:pt>
                <c:pt idx="462">
                  <c:v>3.9009130685642823E-2</c:v>
                </c:pt>
                <c:pt idx="463">
                  <c:v>-5.721809705411518E-2</c:v>
                </c:pt>
                <c:pt idx="464">
                  <c:v>3.1084563324048187E-2</c:v>
                </c:pt>
                <c:pt idx="465">
                  <c:v>7.6701260949858519E-2</c:v>
                </c:pt>
                <c:pt idx="466">
                  <c:v>5.0566941467845794E-2</c:v>
                </c:pt>
                <c:pt idx="467">
                  <c:v>5.2470253492591379E-2</c:v>
                </c:pt>
                <c:pt idx="468">
                  <c:v>3.9502227233974452E-2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4-4768-B262-5D8FDA85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32127"/>
        <c:axId val="814334527"/>
      </c:lineChart>
      <c:dateAx>
        <c:axId val="8143321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34527"/>
        <c:crosses val="autoZero"/>
        <c:auto val="1"/>
        <c:lblOffset val="100"/>
        <c:baseTimeUnit val="days"/>
      </c:dateAx>
      <c:valAx>
        <c:axId val="8143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3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Motality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Motality Histogram</a:t>
          </a:r>
        </a:p>
      </cx:txPr>
    </cx:title>
    <cx:plotArea>
      <cx:plotAreaRegion>
        <cx:series layoutId="clusteredColumn" uniqueId="{280CF78B-1A06-4146-976E-973C8A57F2B4}">
          <cx:tx>
            <cx:txData>
              <cx:f>_xlchart.v1.5</cx:f>
              <cx:v>N° of Deaths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Log-mortality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Log-mortality Histogram</a:t>
          </a:r>
        </a:p>
      </cx:txPr>
    </cx:title>
    <cx:plotArea>
      <cx:plotAreaRegion>
        <cx:series layoutId="clusteredColumn" uniqueId="{9035DAB4-CE1C-43DC-9FA4-56C11A01D1F7}" formatIdx="0">
          <cx:tx>
            <cx:txData>
              <cx:f>_xlchart.v1.0</cx:f>
              <cx:v>Log-Mortality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Mortality Histogram excl.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Mortality Histogram excl. 2020</a:t>
          </a:r>
        </a:p>
      </cx:txPr>
    </cx:title>
    <cx:plotArea>
      <cx:plotAreaRegion>
        <cx:series layoutId="clusteredColumn" uniqueId="{F0A9AE77-7BBF-410D-BE6B-1B13580309DE}">
          <cx:tx>
            <cx:txData>
              <cx:f>_xlchart.v1.3</cx:f>
              <cx:v>N° of Deaths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Log-mortality Histogram excl.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Log-mortality Histogram excl. 2020</a:t>
          </a:r>
        </a:p>
      </cx:txPr>
    </cx:title>
    <cx:plotArea>
      <cx:plotAreaRegion>
        <cx:series layoutId="clusteredColumn" uniqueId="{FFA59BE5-35E9-4CA4-91E0-6ED47110668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Residuals' Distribution incl. COVID19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Residuals' Distribution incl. COVID19</a:t>
          </a:r>
        </a:p>
      </cx:txPr>
    </cx:title>
    <cx:plotArea>
      <cx:plotAreaRegion>
        <cx:series layoutId="clusteredColumn" uniqueId="{046C957B-4D2D-42F4-B64A-4CE04E2E3882}">
          <cx:tx>
            <cx:txData>
              <cx:f>_xlchart.v1.8</cx:f>
              <cx:v>Residuals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Residuals' Distribution excl. COVID19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Residuals' Distribution excl. COVID19</a:t>
          </a:r>
        </a:p>
      </cx:txPr>
    </cx:title>
    <cx:plotArea>
      <cx:plotAreaRegion>
        <cx:series layoutId="clusteredColumn" uniqueId="{A66080BB-B574-4946-A834-7D3688F098F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846FE1-32A9-4A46-8855-380B95AE748B}">
  <sheetPr/>
  <sheetViews>
    <sheetView zoomScale="10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0</xdr:rowOff>
    </xdr:from>
    <xdr:to>
      <xdr:col>14</xdr:col>
      <xdr:colOff>523874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E0021-8060-4B2F-BB41-721FCCCB1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344" cy="6299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CBDEA-D56D-B3AE-8C6B-D490FB3C1A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604836</xdr:colOff>
      <xdr:row>0</xdr:row>
      <xdr:rowOff>180974</xdr:rowOff>
    </xdr:from>
    <xdr:to>
      <xdr:col>21</xdr:col>
      <xdr:colOff>590550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9AE42-13D3-5390-03A3-21D966BF4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16</xdr:row>
      <xdr:rowOff>57150</xdr:rowOff>
    </xdr:from>
    <xdr:to>
      <xdr:col>14</xdr:col>
      <xdr:colOff>295275</xdr:colOff>
      <xdr:row>30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FD46D17-919F-4EED-B043-DB7CA26FF6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2975" y="3105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319087</xdr:colOff>
      <xdr:row>16</xdr:row>
      <xdr:rowOff>66675</xdr:rowOff>
    </xdr:from>
    <xdr:to>
      <xdr:col>22</xdr:col>
      <xdr:colOff>14287</xdr:colOff>
      <xdr:row>30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F6F883-372E-C509-5D74-7E8539C431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8787" y="3114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304800</xdr:colOff>
      <xdr:row>45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A27048B-66C8-4DE7-B6F8-8023F1FC8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5905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314325</xdr:colOff>
      <xdr:row>31</xdr:row>
      <xdr:rowOff>0</xdr:rowOff>
    </xdr:from>
    <xdr:to>
      <xdr:col>22</xdr:col>
      <xdr:colOff>9525</xdr:colOff>
      <xdr:row>45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1DA1AE0-C741-4310-B7A5-5B5DF5E205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4025" y="5905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971549</xdr:colOff>
      <xdr:row>4</xdr:row>
      <xdr:rowOff>9524</xdr:rowOff>
    </xdr:from>
    <xdr:to>
      <xdr:col>13</xdr:col>
      <xdr:colOff>38099</xdr:colOff>
      <xdr:row>22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A0A139-FF5F-4B01-9CB1-1C7881138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9524</xdr:rowOff>
    </xdr:from>
    <xdr:to>
      <xdr:col>23</xdr:col>
      <xdr:colOff>9524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4A538-B6FA-9FAE-8D6D-50E5D2880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604836</xdr:colOff>
      <xdr:row>18</xdr:row>
      <xdr:rowOff>0</xdr:rowOff>
    </xdr:from>
    <xdr:to>
      <xdr:col>22</xdr:col>
      <xdr:colOff>590549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6034CC-C7D0-99A9-90F4-AD1696E0D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33</xdr:row>
      <xdr:rowOff>9525</xdr:rowOff>
    </xdr:from>
    <xdr:to>
      <xdr:col>22</xdr:col>
      <xdr:colOff>600074</xdr:colOff>
      <xdr:row>47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74D5EE1-F615-4FFE-BA71-07257F1FA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6296025"/>
              <a:ext cx="726757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9525</xdr:colOff>
      <xdr:row>48</xdr:row>
      <xdr:rowOff>19050</xdr:rowOff>
    </xdr:from>
    <xdr:to>
      <xdr:col>22</xdr:col>
      <xdr:colOff>581025</xdr:colOff>
      <xdr:row>62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A9589BC-2042-BA10-42A8-74CA53F25A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550" y="9163050"/>
              <a:ext cx="7229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FECF-DF7E-4F20-9583-3EBB92859D3B}">
  <dimension ref="A1:B470"/>
  <sheetViews>
    <sheetView workbookViewId="0">
      <selection activeCell="U13" sqref="U13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42009</v>
      </c>
      <c r="B2">
        <v>232</v>
      </c>
    </row>
    <row r="3" spans="1:2" x14ac:dyDescent="0.25">
      <c r="A3" s="1">
        <v>42016</v>
      </c>
      <c r="B3">
        <v>194</v>
      </c>
    </row>
    <row r="4" spans="1:2" x14ac:dyDescent="0.25">
      <c r="A4" s="1">
        <v>42023</v>
      </c>
      <c r="B4">
        <v>226</v>
      </c>
    </row>
    <row r="5" spans="1:2" x14ac:dyDescent="0.25">
      <c r="A5" s="1">
        <v>42030</v>
      </c>
      <c r="B5">
        <v>211</v>
      </c>
    </row>
    <row r="6" spans="1:2" x14ac:dyDescent="0.25">
      <c r="A6" s="1">
        <v>42037</v>
      </c>
      <c r="B6">
        <v>243</v>
      </c>
    </row>
    <row r="7" spans="1:2" x14ac:dyDescent="0.25">
      <c r="A7" s="1">
        <v>42044</v>
      </c>
      <c r="B7">
        <v>241</v>
      </c>
    </row>
    <row r="8" spans="1:2" x14ac:dyDescent="0.25">
      <c r="A8" s="1">
        <v>42051</v>
      </c>
      <c r="B8">
        <v>228</v>
      </c>
    </row>
    <row r="9" spans="1:2" x14ac:dyDescent="0.25">
      <c r="A9" s="1">
        <v>42058</v>
      </c>
      <c r="B9">
        <v>235</v>
      </c>
    </row>
    <row r="10" spans="1:2" x14ac:dyDescent="0.25">
      <c r="A10" s="1">
        <v>42065</v>
      </c>
      <c r="B10">
        <v>224</v>
      </c>
    </row>
    <row r="11" spans="1:2" x14ac:dyDescent="0.25">
      <c r="A11" s="1">
        <v>42072</v>
      </c>
      <c r="B11">
        <v>212</v>
      </c>
    </row>
    <row r="12" spans="1:2" x14ac:dyDescent="0.25">
      <c r="A12" s="1">
        <v>42079</v>
      </c>
      <c r="B12">
        <v>191</v>
      </c>
    </row>
    <row r="13" spans="1:2" x14ac:dyDescent="0.25">
      <c r="A13" s="1">
        <v>42086</v>
      </c>
      <c r="B13">
        <v>177</v>
      </c>
    </row>
    <row r="14" spans="1:2" x14ac:dyDescent="0.25">
      <c r="A14" s="1">
        <v>42093</v>
      </c>
      <c r="B14">
        <v>200</v>
      </c>
    </row>
    <row r="15" spans="1:2" x14ac:dyDescent="0.25">
      <c r="A15" s="1">
        <v>42100</v>
      </c>
      <c r="B15">
        <v>170</v>
      </c>
    </row>
    <row r="16" spans="1:2" x14ac:dyDescent="0.25">
      <c r="A16" s="1">
        <v>42107</v>
      </c>
      <c r="B16">
        <v>178</v>
      </c>
    </row>
    <row r="17" spans="1:2" x14ac:dyDescent="0.25">
      <c r="A17" s="1">
        <v>42114</v>
      </c>
      <c r="B17">
        <v>177</v>
      </c>
    </row>
    <row r="18" spans="1:2" x14ac:dyDescent="0.25">
      <c r="A18" s="1">
        <v>42121</v>
      </c>
      <c r="B18">
        <v>167</v>
      </c>
    </row>
    <row r="19" spans="1:2" x14ac:dyDescent="0.25">
      <c r="A19" s="1">
        <v>42128</v>
      </c>
      <c r="B19">
        <v>179</v>
      </c>
    </row>
    <row r="20" spans="1:2" x14ac:dyDescent="0.25">
      <c r="A20" s="1">
        <v>42135</v>
      </c>
      <c r="B20">
        <v>147</v>
      </c>
    </row>
    <row r="21" spans="1:2" x14ac:dyDescent="0.25">
      <c r="A21" s="1">
        <v>42142</v>
      </c>
      <c r="B21">
        <v>155</v>
      </c>
    </row>
    <row r="22" spans="1:2" x14ac:dyDescent="0.25">
      <c r="A22" s="1">
        <v>42149</v>
      </c>
      <c r="B22">
        <v>171</v>
      </c>
    </row>
    <row r="23" spans="1:2" x14ac:dyDescent="0.25">
      <c r="A23" s="1">
        <v>42156</v>
      </c>
      <c r="B23">
        <v>153</v>
      </c>
    </row>
    <row r="24" spans="1:2" x14ac:dyDescent="0.25">
      <c r="A24" s="1">
        <v>42163</v>
      </c>
      <c r="B24">
        <v>170</v>
      </c>
    </row>
    <row r="25" spans="1:2" x14ac:dyDescent="0.25">
      <c r="A25" s="1">
        <v>42170</v>
      </c>
      <c r="B25">
        <v>163</v>
      </c>
    </row>
    <row r="26" spans="1:2" x14ac:dyDescent="0.25">
      <c r="A26" s="1">
        <v>42177</v>
      </c>
      <c r="B26">
        <v>152</v>
      </c>
    </row>
    <row r="27" spans="1:2" x14ac:dyDescent="0.25">
      <c r="A27" s="1">
        <v>42184</v>
      </c>
      <c r="B27">
        <v>194</v>
      </c>
    </row>
    <row r="28" spans="1:2" x14ac:dyDescent="0.25">
      <c r="A28" s="1">
        <v>42191</v>
      </c>
      <c r="B28">
        <v>184</v>
      </c>
    </row>
    <row r="29" spans="1:2" x14ac:dyDescent="0.25">
      <c r="A29" s="1">
        <v>42198</v>
      </c>
      <c r="B29">
        <v>145</v>
      </c>
    </row>
    <row r="30" spans="1:2" x14ac:dyDescent="0.25">
      <c r="A30" s="1">
        <v>42205</v>
      </c>
      <c r="B30">
        <v>145</v>
      </c>
    </row>
    <row r="31" spans="1:2" x14ac:dyDescent="0.25">
      <c r="A31" s="1">
        <v>42212</v>
      </c>
      <c r="B31">
        <v>166</v>
      </c>
    </row>
    <row r="32" spans="1:2" x14ac:dyDescent="0.25">
      <c r="A32" s="1">
        <v>42219</v>
      </c>
      <c r="B32">
        <v>192</v>
      </c>
    </row>
    <row r="33" spans="1:2" x14ac:dyDescent="0.25">
      <c r="A33" s="1">
        <v>42226</v>
      </c>
      <c r="B33">
        <v>157</v>
      </c>
    </row>
    <row r="34" spans="1:2" x14ac:dyDescent="0.25">
      <c r="A34" s="1">
        <v>42233</v>
      </c>
      <c r="B34">
        <v>138</v>
      </c>
    </row>
    <row r="35" spans="1:2" x14ac:dyDescent="0.25">
      <c r="A35" s="1">
        <v>42240</v>
      </c>
      <c r="B35">
        <v>173</v>
      </c>
    </row>
    <row r="36" spans="1:2" x14ac:dyDescent="0.25">
      <c r="A36" s="1">
        <v>42247</v>
      </c>
      <c r="B36">
        <v>161</v>
      </c>
    </row>
    <row r="37" spans="1:2" x14ac:dyDescent="0.25">
      <c r="A37" s="1">
        <v>42254</v>
      </c>
      <c r="B37">
        <v>149</v>
      </c>
    </row>
    <row r="38" spans="1:2" x14ac:dyDescent="0.25">
      <c r="A38" s="1">
        <v>42261</v>
      </c>
      <c r="B38">
        <v>155</v>
      </c>
    </row>
    <row r="39" spans="1:2" x14ac:dyDescent="0.25">
      <c r="A39" s="1">
        <v>42268</v>
      </c>
      <c r="B39">
        <v>160</v>
      </c>
    </row>
    <row r="40" spans="1:2" x14ac:dyDescent="0.25">
      <c r="A40" s="1">
        <v>42275</v>
      </c>
      <c r="B40">
        <v>176</v>
      </c>
    </row>
    <row r="41" spans="1:2" x14ac:dyDescent="0.25">
      <c r="A41" s="1">
        <v>42282</v>
      </c>
      <c r="B41">
        <v>182</v>
      </c>
    </row>
    <row r="42" spans="1:2" x14ac:dyDescent="0.25">
      <c r="A42" s="1">
        <v>42289</v>
      </c>
      <c r="B42">
        <v>166</v>
      </c>
    </row>
    <row r="43" spans="1:2" x14ac:dyDescent="0.25">
      <c r="A43" s="1">
        <v>42296</v>
      </c>
      <c r="B43">
        <v>178</v>
      </c>
    </row>
    <row r="44" spans="1:2" x14ac:dyDescent="0.25">
      <c r="A44" s="1">
        <v>42303</v>
      </c>
      <c r="B44">
        <v>165</v>
      </c>
    </row>
    <row r="45" spans="1:2" x14ac:dyDescent="0.25">
      <c r="A45" s="1">
        <v>42310</v>
      </c>
      <c r="B45">
        <v>163</v>
      </c>
    </row>
    <row r="46" spans="1:2" x14ac:dyDescent="0.25">
      <c r="A46" s="1">
        <v>42317</v>
      </c>
      <c r="B46">
        <v>171</v>
      </c>
    </row>
    <row r="47" spans="1:2" x14ac:dyDescent="0.25">
      <c r="A47" s="1">
        <v>42324</v>
      </c>
      <c r="B47">
        <v>194</v>
      </c>
    </row>
    <row r="48" spans="1:2" x14ac:dyDescent="0.25">
      <c r="A48" s="1">
        <v>42331</v>
      </c>
      <c r="B48">
        <v>176</v>
      </c>
    </row>
    <row r="49" spans="1:2" x14ac:dyDescent="0.25">
      <c r="A49" s="1">
        <v>42338</v>
      </c>
      <c r="B49">
        <v>147</v>
      </c>
    </row>
    <row r="50" spans="1:2" x14ac:dyDescent="0.25">
      <c r="A50" s="1">
        <v>42345</v>
      </c>
      <c r="B50">
        <v>176</v>
      </c>
    </row>
    <row r="51" spans="1:2" x14ac:dyDescent="0.25">
      <c r="A51" s="1">
        <v>42352</v>
      </c>
      <c r="B51">
        <v>156</v>
      </c>
    </row>
    <row r="52" spans="1:2" x14ac:dyDescent="0.25">
      <c r="A52" s="1">
        <v>42359</v>
      </c>
      <c r="B52">
        <v>151</v>
      </c>
    </row>
    <row r="53" spans="1:2" x14ac:dyDescent="0.25">
      <c r="A53" s="1">
        <v>42366</v>
      </c>
      <c r="B53">
        <v>163</v>
      </c>
    </row>
    <row r="54" spans="1:2" x14ac:dyDescent="0.25">
      <c r="A54" s="1">
        <v>42373</v>
      </c>
      <c r="B54">
        <v>171</v>
      </c>
    </row>
    <row r="55" spans="1:2" x14ac:dyDescent="0.25">
      <c r="A55" s="1">
        <v>42380</v>
      </c>
      <c r="B55">
        <v>191</v>
      </c>
    </row>
    <row r="56" spans="1:2" x14ac:dyDescent="0.25">
      <c r="A56" s="1">
        <v>42387</v>
      </c>
      <c r="B56">
        <v>182</v>
      </c>
    </row>
    <row r="57" spans="1:2" x14ac:dyDescent="0.25">
      <c r="A57" s="1">
        <v>42394</v>
      </c>
      <c r="B57">
        <v>195</v>
      </c>
    </row>
    <row r="58" spans="1:2" x14ac:dyDescent="0.25">
      <c r="A58" s="1">
        <v>42401</v>
      </c>
      <c r="B58">
        <v>192</v>
      </c>
    </row>
    <row r="59" spans="1:2" x14ac:dyDescent="0.25">
      <c r="A59" s="1">
        <v>42408</v>
      </c>
      <c r="B59">
        <v>167</v>
      </c>
    </row>
    <row r="60" spans="1:2" x14ac:dyDescent="0.25">
      <c r="A60" s="1">
        <v>42415</v>
      </c>
      <c r="B60">
        <v>166</v>
      </c>
    </row>
    <row r="61" spans="1:2" x14ac:dyDescent="0.25">
      <c r="A61" s="1">
        <v>42422</v>
      </c>
      <c r="B61">
        <v>192</v>
      </c>
    </row>
    <row r="62" spans="1:2" x14ac:dyDescent="0.25">
      <c r="A62" s="1">
        <v>42429</v>
      </c>
      <c r="B62">
        <v>186</v>
      </c>
    </row>
    <row r="63" spans="1:2" x14ac:dyDescent="0.25">
      <c r="A63" s="1">
        <v>42436</v>
      </c>
      <c r="B63">
        <v>194</v>
      </c>
    </row>
    <row r="64" spans="1:2" x14ac:dyDescent="0.25">
      <c r="A64" s="1">
        <v>42443</v>
      </c>
      <c r="B64">
        <v>193</v>
      </c>
    </row>
    <row r="65" spans="1:2" x14ac:dyDescent="0.25">
      <c r="A65" s="1">
        <v>42450</v>
      </c>
      <c r="B65">
        <v>232</v>
      </c>
    </row>
    <row r="66" spans="1:2" x14ac:dyDescent="0.25">
      <c r="A66" s="1">
        <v>42457</v>
      </c>
      <c r="B66">
        <v>179</v>
      </c>
    </row>
    <row r="67" spans="1:2" x14ac:dyDescent="0.25">
      <c r="A67" s="1">
        <v>42464</v>
      </c>
      <c r="B67">
        <v>157</v>
      </c>
    </row>
    <row r="68" spans="1:2" x14ac:dyDescent="0.25">
      <c r="A68" s="1">
        <v>42471</v>
      </c>
      <c r="B68">
        <v>178</v>
      </c>
    </row>
    <row r="69" spans="1:2" x14ac:dyDescent="0.25">
      <c r="A69" s="1">
        <v>42478</v>
      </c>
      <c r="B69">
        <v>179</v>
      </c>
    </row>
    <row r="70" spans="1:2" x14ac:dyDescent="0.25">
      <c r="A70" s="1">
        <v>42485</v>
      </c>
      <c r="B70">
        <v>168</v>
      </c>
    </row>
    <row r="71" spans="1:2" x14ac:dyDescent="0.25">
      <c r="A71" s="1">
        <v>42492</v>
      </c>
      <c r="B71">
        <v>177</v>
      </c>
    </row>
    <row r="72" spans="1:2" x14ac:dyDescent="0.25">
      <c r="A72" s="1">
        <v>42499</v>
      </c>
      <c r="B72">
        <v>177</v>
      </c>
    </row>
    <row r="73" spans="1:2" x14ac:dyDescent="0.25">
      <c r="A73" s="1">
        <v>42506</v>
      </c>
      <c r="B73">
        <v>146</v>
      </c>
    </row>
    <row r="74" spans="1:2" x14ac:dyDescent="0.25">
      <c r="A74" s="1">
        <v>42513</v>
      </c>
      <c r="B74">
        <v>172</v>
      </c>
    </row>
    <row r="75" spans="1:2" x14ac:dyDescent="0.25">
      <c r="A75" s="1">
        <v>42520</v>
      </c>
      <c r="B75">
        <v>151</v>
      </c>
    </row>
    <row r="76" spans="1:2" x14ac:dyDescent="0.25">
      <c r="A76" s="1">
        <v>42527</v>
      </c>
      <c r="B76">
        <v>146</v>
      </c>
    </row>
    <row r="77" spans="1:2" x14ac:dyDescent="0.25">
      <c r="A77" s="1">
        <v>42534</v>
      </c>
      <c r="B77">
        <v>178</v>
      </c>
    </row>
    <row r="78" spans="1:2" x14ac:dyDescent="0.25">
      <c r="A78" s="1">
        <v>42541</v>
      </c>
      <c r="B78">
        <v>162</v>
      </c>
    </row>
    <row r="79" spans="1:2" x14ac:dyDescent="0.25">
      <c r="A79" s="1">
        <v>42548</v>
      </c>
      <c r="B79">
        <v>155</v>
      </c>
    </row>
    <row r="80" spans="1:2" x14ac:dyDescent="0.25">
      <c r="A80" s="1">
        <v>42555</v>
      </c>
      <c r="B80">
        <v>155</v>
      </c>
    </row>
    <row r="81" spans="1:2" x14ac:dyDescent="0.25">
      <c r="A81" s="1">
        <v>42562</v>
      </c>
      <c r="B81">
        <v>160</v>
      </c>
    </row>
    <row r="82" spans="1:2" x14ac:dyDescent="0.25">
      <c r="A82" s="1">
        <v>42569</v>
      </c>
      <c r="B82">
        <v>193</v>
      </c>
    </row>
    <row r="83" spans="1:2" x14ac:dyDescent="0.25">
      <c r="A83" s="1">
        <v>42576</v>
      </c>
      <c r="B83">
        <v>166</v>
      </c>
    </row>
    <row r="84" spans="1:2" x14ac:dyDescent="0.25">
      <c r="A84" s="1">
        <v>42583</v>
      </c>
      <c r="B84">
        <v>144</v>
      </c>
    </row>
    <row r="85" spans="1:2" x14ac:dyDescent="0.25">
      <c r="A85" s="1">
        <v>42590</v>
      </c>
      <c r="B85">
        <v>167</v>
      </c>
    </row>
    <row r="86" spans="1:2" x14ac:dyDescent="0.25">
      <c r="A86" s="1">
        <v>42597</v>
      </c>
      <c r="B86">
        <v>149</v>
      </c>
    </row>
    <row r="87" spans="1:2" x14ac:dyDescent="0.25">
      <c r="A87" s="1">
        <v>42604</v>
      </c>
      <c r="B87">
        <v>178</v>
      </c>
    </row>
    <row r="88" spans="1:2" x14ac:dyDescent="0.25">
      <c r="A88" s="1">
        <v>42611</v>
      </c>
      <c r="B88">
        <v>155</v>
      </c>
    </row>
    <row r="89" spans="1:2" x14ac:dyDescent="0.25">
      <c r="A89" s="1">
        <v>42618</v>
      </c>
      <c r="B89">
        <v>156</v>
      </c>
    </row>
    <row r="90" spans="1:2" x14ac:dyDescent="0.25">
      <c r="A90" s="1">
        <v>42625</v>
      </c>
      <c r="B90">
        <v>166</v>
      </c>
    </row>
    <row r="91" spans="1:2" x14ac:dyDescent="0.25">
      <c r="A91" s="1">
        <v>42632</v>
      </c>
      <c r="B91">
        <v>133</v>
      </c>
    </row>
    <row r="92" spans="1:2" x14ac:dyDescent="0.25">
      <c r="A92" s="1">
        <v>42639</v>
      </c>
      <c r="B92">
        <v>165</v>
      </c>
    </row>
    <row r="93" spans="1:2" x14ac:dyDescent="0.25">
      <c r="A93" s="1">
        <v>42646</v>
      </c>
      <c r="B93">
        <v>155</v>
      </c>
    </row>
    <row r="94" spans="1:2" x14ac:dyDescent="0.25">
      <c r="A94" s="1">
        <v>42653</v>
      </c>
      <c r="B94">
        <v>170</v>
      </c>
    </row>
    <row r="95" spans="1:2" x14ac:dyDescent="0.25">
      <c r="A95" s="1">
        <v>42660</v>
      </c>
      <c r="B95">
        <v>181</v>
      </c>
    </row>
    <row r="96" spans="1:2" x14ac:dyDescent="0.25">
      <c r="A96" s="1">
        <v>42667</v>
      </c>
      <c r="B96">
        <v>165</v>
      </c>
    </row>
    <row r="97" spans="1:2" x14ac:dyDescent="0.25">
      <c r="A97" s="1">
        <v>42674</v>
      </c>
      <c r="B97">
        <v>165</v>
      </c>
    </row>
    <row r="98" spans="1:2" x14ac:dyDescent="0.25">
      <c r="A98" s="1">
        <v>42681</v>
      </c>
      <c r="B98">
        <v>193</v>
      </c>
    </row>
    <row r="99" spans="1:2" x14ac:dyDescent="0.25">
      <c r="A99" s="1">
        <v>42688</v>
      </c>
      <c r="B99">
        <v>190</v>
      </c>
    </row>
    <row r="100" spans="1:2" x14ac:dyDescent="0.25">
      <c r="A100" s="1">
        <v>42695</v>
      </c>
      <c r="B100">
        <v>186</v>
      </c>
    </row>
    <row r="101" spans="1:2" x14ac:dyDescent="0.25">
      <c r="A101" s="1">
        <v>42702</v>
      </c>
      <c r="B101">
        <v>192</v>
      </c>
    </row>
    <row r="102" spans="1:2" x14ac:dyDescent="0.25">
      <c r="A102" s="1">
        <v>42709</v>
      </c>
      <c r="B102">
        <v>178</v>
      </c>
    </row>
    <row r="103" spans="1:2" x14ac:dyDescent="0.25">
      <c r="A103" s="1">
        <v>42716</v>
      </c>
      <c r="B103">
        <v>194</v>
      </c>
    </row>
    <row r="104" spans="1:2" x14ac:dyDescent="0.25">
      <c r="A104" s="1">
        <v>42723</v>
      </c>
      <c r="B104">
        <v>158</v>
      </c>
    </row>
    <row r="105" spans="1:2" x14ac:dyDescent="0.25">
      <c r="A105" s="1">
        <v>42730</v>
      </c>
      <c r="B105">
        <v>221</v>
      </c>
    </row>
    <row r="106" spans="1:2" x14ac:dyDescent="0.25">
      <c r="A106" s="1">
        <v>42737</v>
      </c>
      <c r="B106">
        <v>198</v>
      </c>
    </row>
    <row r="107" spans="1:2" x14ac:dyDescent="0.25">
      <c r="A107" s="1">
        <v>42744</v>
      </c>
      <c r="B107">
        <v>229</v>
      </c>
    </row>
    <row r="108" spans="1:2" x14ac:dyDescent="0.25">
      <c r="A108" s="1">
        <v>42751</v>
      </c>
      <c r="B108">
        <v>217</v>
      </c>
    </row>
    <row r="109" spans="1:2" x14ac:dyDescent="0.25">
      <c r="A109" s="1">
        <v>42758</v>
      </c>
      <c r="B109">
        <v>219</v>
      </c>
    </row>
    <row r="110" spans="1:2" x14ac:dyDescent="0.25">
      <c r="A110" s="1">
        <v>42765</v>
      </c>
      <c r="B110">
        <v>220</v>
      </c>
    </row>
    <row r="111" spans="1:2" x14ac:dyDescent="0.25">
      <c r="A111" s="1">
        <v>42772</v>
      </c>
      <c r="B111">
        <v>183</v>
      </c>
    </row>
    <row r="112" spans="1:2" x14ac:dyDescent="0.25">
      <c r="A112" s="1">
        <v>42779</v>
      </c>
      <c r="B112">
        <v>194</v>
      </c>
    </row>
    <row r="113" spans="1:2" x14ac:dyDescent="0.25">
      <c r="A113" s="1">
        <v>42786</v>
      </c>
      <c r="B113">
        <v>197</v>
      </c>
    </row>
    <row r="114" spans="1:2" x14ac:dyDescent="0.25">
      <c r="A114" s="1">
        <v>42793</v>
      </c>
      <c r="B114">
        <v>187</v>
      </c>
    </row>
    <row r="115" spans="1:2" x14ac:dyDescent="0.25">
      <c r="A115" s="1">
        <v>42800</v>
      </c>
      <c r="B115">
        <v>195</v>
      </c>
    </row>
    <row r="116" spans="1:2" x14ac:dyDescent="0.25">
      <c r="A116" s="1">
        <v>42807</v>
      </c>
      <c r="B116">
        <v>178</v>
      </c>
    </row>
    <row r="117" spans="1:2" x14ac:dyDescent="0.25">
      <c r="A117" s="1">
        <v>42814</v>
      </c>
      <c r="B117">
        <v>164</v>
      </c>
    </row>
    <row r="118" spans="1:2" x14ac:dyDescent="0.25">
      <c r="A118" s="1">
        <v>42821</v>
      </c>
      <c r="B118">
        <v>164</v>
      </c>
    </row>
    <row r="119" spans="1:2" x14ac:dyDescent="0.25">
      <c r="A119" s="1">
        <v>42828</v>
      </c>
      <c r="B119">
        <v>147</v>
      </c>
    </row>
    <row r="120" spans="1:2" x14ac:dyDescent="0.25">
      <c r="A120" s="1">
        <v>42835</v>
      </c>
      <c r="B120">
        <v>149</v>
      </c>
    </row>
    <row r="121" spans="1:2" x14ac:dyDescent="0.25">
      <c r="A121" s="1">
        <v>42842</v>
      </c>
      <c r="B121">
        <v>155</v>
      </c>
    </row>
    <row r="122" spans="1:2" x14ac:dyDescent="0.25">
      <c r="A122" s="1">
        <v>42849</v>
      </c>
      <c r="B122">
        <v>155</v>
      </c>
    </row>
    <row r="123" spans="1:2" x14ac:dyDescent="0.25">
      <c r="A123" s="1">
        <v>42856</v>
      </c>
      <c r="B123">
        <v>179</v>
      </c>
    </row>
    <row r="124" spans="1:2" x14ac:dyDescent="0.25">
      <c r="A124" s="1">
        <v>42863</v>
      </c>
      <c r="B124">
        <v>176</v>
      </c>
    </row>
    <row r="125" spans="1:2" x14ac:dyDescent="0.25">
      <c r="A125" s="1">
        <v>42870</v>
      </c>
      <c r="B125">
        <v>174</v>
      </c>
    </row>
    <row r="126" spans="1:2" x14ac:dyDescent="0.25">
      <c r="A126" s="1">
        <v>42877</v>
      </c>
      <c r="B126">
        <v>144</v>
      </c>
    </row>
    <row r="127" spans="1:2" x14ac:dyDescent="0.25">
      <c r="A127" s="1">
        <v>42884</v>
      </c>
      <c r="B127">
        <v>173</v>
      </c>
    </row>
    <row r="128" spans="1:2" x14ac:dyDescent="0.25">
      <c r="A128" s="1">
        <v>42891</v>
      </c>
      <c r="B128">
        <v>131</v>
      </c>
    </row>
    <row r="129" spans="1:2" x14ac:dyDescent="0.25">
      <c r="A129" s="1">
        <v>42898</v>
      </c>
      <c r="B129">
        <v>156</v>
      </c>
    </row>
    <row r="130" spans="1:2" x14ac:dyDescent="0.25">
      <c r="A130" s="1">
        <v>42905</v>
      </c>
      <c r="B130">
        <v>182</v>
      </c>
    </row>
    <row r="131" spans="1:2" x14ac:dyDescent="0.25">
      <c r="A131" s="1">
        <v>42912</v>
      </c>
      <c r="B131">
        <v>166</v>
      </c>
    </row>
    <row r="132" spans="1:2" x14ac:dyDescent="0.25">
      <c r="A132" s="1">
        <v>42919</v>
      </c>
      <c r="B132">
        <v>180</v>
      </c>
    </row>
    <row r="133" spans="1:2" x14ac:dyDescent="0.25">
      <c r="A133" s="1">
        <v>42926</v>
      </c>
      <c r="B133">
        <v>185</v>
      </c>
    </row>
    <row r="134" spans="1:2" x14ac:dyDescent="0.25">
      <c r="A134" s="1">
        <v>42933</v>
      </c>
      <c r="B134">
        <v>159</v>
      </c>
    </row>
    <row r="135" spans="1:2" x14ac:dyDescent="0.25">
      <c r="A135" s="1">
        <v>42940</v>
      </c>
      <c r="B135">
        <v>139</v>
      </c>
    </row>
    <row r="136" spans="1:2" x14ac:dyDescent="0.25">
      <c r="A136" s="1">
        <v>42947</v>
      </c>
      <c r="B136">
        <v>158</v>
      </c>
    </row>
    <row r="137" spans="1:2" x14ac:dyDescent="0.25">
      <c r="A137" s="1">
        <v>42954</v>
      </c>
      <c r="B137">
        <v>162</v>
      </c>
    </row>
    <row r="138" spans="1:2" x14ac:dyDescent="0.25">
      <c r="A138" s="1">
        <v>42961</v>
      </c>
      <c r="B138">
        <v>157</v>
      </c>
    </row>
    <row r="139" spans="1:2" x14ac:dyDescent="0.25">
      <c r="A139" s="1">
        <v>42968</v>
      </c>
      <c r="B139">
        <v>187</v>
      </c>
    </row>
    <row r="140" spans="1:2" x14ac:dyDescent="0.25">
      <c r="A140" s="1">
        <v>42975</v>
      </c>
      <c r="B140">
        <v>157</v>
      </c>
    </row>
    <row r="141" spans="1:2" x14ac:dyDescent="0.25">
      <c r="A141" s="1">
        <v>42982</v>
      </c>
      <c r="B141">
        <v>175</v>
      </c>
    </row>
    <row r="142" spans="1:2" x14ac:dyDescent="0.25">
      <c r="A142" s="1">
        <v>42989</v>
      </c>
      <c r="B142">
        <v>143</v>
      </c>
    </row>
    <row r="143" spans="1:2" x14ac:dyDescent="0.25">
      <c r="A143" s="1">
        <v>42996</v>
      </c>
      <c r="B143">
        <v>166</v>
      </c>
    </row>
    <row r="144" spans="1:2" x14ac:dyDescent="0.25">
      <c r="A144" s="1">
        <v>43003</v>
      </c>
      <c r="B144">
        <v>170</v>
      </c>
    </row>
    <row r="145" spans="1:2" x14ac:dyDescent="0.25">
      <c r="A145" s="1">
        <v>43010</v>
      </c>
      <c r="B145">
        <v>141</v>
      </c>
    </row>
    <row r="146" spans="1:2" x14ac:dyDescent="0.25">
      <c r="A146" s="1">
        <v>43017</v>
      </c>
      <c r="B146">
        <v>176</v>
      </c>
    </row>
    <row r="147" spans="1:2" x14ac:dyDescent="0.25">
      <c r="A147" s="1">
        <v>43024</v>
      </c>
      <c r="B147">
        <v>179</v>
      </c>
    </row>
    <row r="148" spans="1:2" x14ac:dyDescent="0.25">
      <c r="A148" s="1">
        <v>43031</v>
      </c>
      <c r="B148">
        <v>165</v>
      </c>
    </row>
    <row r="149" spans="1:2" x14ac:dyDescent="0.25">
      <c r="A149" s="1">
        <v>43038</v>
      </c>
      <c r="B149">
        <v>190</v>
      </c>
    </row>
    <row r="150" spans="1:2" x14ac:dyDescent="0.25">
      <c r="A150" s="1">
        <v>43045</v>
      </c>
      <c r="B150">
        <v>170</v>
      </c>
    </row>
    <row r="151" spans="1:2" x14ac:dyDescent="0.25">
      <c r="A151" s="1">
        <v>43052</v>
      </c>
      <c r="B151">
        <v>162</v>
      </c>
    </row>
    <row r="152" spans="1:2" x14ac:dyDescent="0.25">
      <c r="A152" s="1">
        <v>43059</v>
      </c>
      <c r="B152">
        <v>175</v>
      </c>
    </row>
    <row r="153" spans="1:2" x14ac:dyDescent="0.25">
      <c r="A153" s="1">
        <v>43066</v>
      </c>
      <c r="B153">
        <v>149</v>
      </c>
    </row>
    <row r="154" spans="1:2" x14ac:dyDescent="0.25">
      <c r="A154" s="1">
        <v>43073</v>
      </c>
      <c r="B154">
        <v>186</v>
      </c>
    </row>
    <row r="155" spans="1:2" x14ac:dyDescent="0.25">
      <c r="A155" s="1">
        <v>43080</v>
      </c>
      <c r="B155">
        <v>186</v>
      </c>
    </row>
    <row r="156" spans="1:2" x14ac:dyDescent="0.25">
      <c r="A156" s="1">
        <v>43087</v>
      </c>
      <c r="B156">
        <v>179</v>
      </c>
    </row>
    <row r="157" spans="1:2" x14ac:dyDescent="0.25">
      <c r="A157" s="1">
        <v>43094</v>
      </c>
      <c r="B157">
        <v>178</v>
      </c>
    </row>
    <row r="158" spans="1:2" x14ac:dyDescent="0.25">
      <c r="A158" s="1">
        <v>43101</v>
      </c>
      <c r="B158">
        <v>175</v>
      </c>
    </row>
    <row r="159" spans="1:2" x14ac:dyDescent="0.25">
      <c r="A159" s="1">
        <v>43108</v>
      </c>
      <c r="B159">
        <v>168</v>
      </c>
    </row>
    <row r="160" spans="1:2" x14ac:dyDescent="0.25">
      <c r="A160" s="1">
        <v>43115</v>
      </c>
      <c r="B160">
        <v>178</v>
      </c>
    </row>
    <row r="161" spans="1:2" x14ac:dyDescent="0.25">
      <c r="A161" s="1">
        <v>43122</v>
      </c>
      <c r="B161">
        <v>181</v>
      </c>
    </row>
    <row r="162" spans="1:2" x14ac:dyDescent="0.25">
      <c r="A162" s="1">
        <v>43129</v>
      </c>
      <c r="B162">
        <v>196</v>
      </c>
    </row>
    <row r="163" spans="1:2" x14ac:dyDescent="0.25">
      <c r="A163" s="1">
        <v>43136</v>
      </c>
      <c r="B163">
        <v>181</v>
      </c>
    </row>
    <row r="164" spans="1:2" x14ac:dyDescent="0.25">
      <c r="A164" s="1">
        <v>43143</v>
      </c>
      <c r="B164">
        <v>200</v>
      </c>
    </row>
    <row r="165" spans="1:2" x14ac:dyDescent="0.25">
      <c r="A165" s="1">
        <v>43150</v>
      </c>
      <c r="B165">
        <v>184</v>
      </c>
    </row>
    <row r="166" spans="1:2" x14ac:dyDescent="0.25">
      <c r="A166" s="1">
        <v>43157</v>
      </c>
      <c r="B166">
        <v>226</v>
      </c>
    </row>
    <row r="167" spans="1:2" x14ac:dyDescent="0.25">
      <c r="A167" s="1">
        <v>43164</v>
      </c>
      <c r="B167">
        <v>251</v>
      </c>
    </row>
    <row r="168" spans="1:2" x14ac:dyDescent="0.25">
      <c r="A168" s="1">
        <v>43171</v>
      </c>
      <c r="B168">
        <v>200</v>
      </c>
    </row>
    <row r="169" spans="1:2" x14ac:dyDescent="0.25">
      <c r="A169" s="1">
        <v>43178</v>
      </c>
      <c r="B169">
        <v>210</v>
      </c>
    </row>
    <row r="170" spans="1:2" x14ac:dyDescent="0.25">
      <c r="A170" s="1">
        <v>43185</v>
      </c>
      <c r="B170">
        <v>180</v>
      </c>
    </row>
    <row r="171" spans="1:2" x14ac:dyDescent="0.25">
      <c r="A171" s="1">
        <v>43192</v>
      </c>
      <c r="B171">
        <v>187</v>
      </c>
    </row>
    <row r="172" spans="1:2" x14ac:dyDescent="0.25">
      <c r="A172" s="1">
        <v>43199</v>
      </c>
      <c r="B172">
        <v>167</v>
      </c>
    </row>
    <row r="173" spans="1:2" x14ac:dyDescent="0.25">
      <c r="A173" s="1">
        <v>43206</v>
      </c>
      <c r="B173">
        <v>162</v>
      </c>
    </row>
    <row r="174" spans="1:2" x14ac:dyDescent="0.25">
      <c r="A174" s="1">
        <v>43213</v>
      </c>
      <c r="B174">
        <v>155</v>
      </c>
    </row>
    <row r="175" spans="1:2" x14ac:dyDescent="0.25">
      <c r="A175" s="1">
        <v>43220</v>
      </c>
      <c r="B175">
        <v>157</v>
      </c>
    </row>
    <row r="176" spans="1:2" x14ac:dyDescent="0.25">
      <c r="A176" s="1">
        <v>43227</v>
      </c>
      <c r="B176">
        <v>151</v>
      </c>
    </row>
    <row r="177" spans="1:2" x14ac:dyDescent="0.25">
      <c r="A177" s="1">
        <v>43234</v>
      </c>
      <c r="B177">
        <v>153</v>
      </c>
    </row>
    <row r="178" spans="1:2" x14ac:dyDescent="0.25">
      <c r="A178" s="1">
        <v>43241</v>
      </c>
      <c r="B178">
        <v>144</v>
      </c>
    </row>
    <row r="179" spans="1:2" x14ac:dyDescent="0.25">
      <c r="A179" s="1">
        <v>43248</v>
      </c>
      <c r="B179">
        <v>181</v>
      </c>
    </row>
    <row r="180" spans="1:2" x14ac:dyDescent="0.25">
      <c r="A180" s="1">
        <v>43255</v>
      </c>
      <c r="B180">
        <v>137</v>
      </c>
    </row>
    <row r="181" spans="1:2" x14ac:dyDescent="0.25">
      <c r="A181" s="1">
        <v>43262</v>
      </c>
      <c r="B181">
        <v>140</v>
      </c>
    </row>
    <row r="182" spans="1:2" x14ac:dyDescent="0.25">
      <c r="A182" s="1">
        <v>43269</v>
      </c>
      <c r="B182">
        <v>160</v>
      </c>
    </row>
    <row r="183" spans="1:2" x14ac:dyDescent="0.25">
      <c r="A183" s="1">
        <v>43276</v>
      </c>
      <c r="B183">
        <v>168</v>
      </c>
    </row>
    <row r="184" spans="1:2" x14ac:dyDescent="0.25">
      <c r="A184" s="1">
        <v>43283</v>
      </c>
      <c r="B184">
        <v>182</v>
      </c>
    </row>
    <row r="185" spans="1:2" x14ac:dyDescent="0.25">
      <c r="A185" s="1">
        <v>43290</v>
      </c>
      <c r="B185">
        <v>157</v>
      </c>
    </row>
    <row r="186" spans="1:2" x14ac:dyDescent="0.25">
      <c r="A186" s="1">
        <v>43297</v>
      </c>
      <c r="B186">
        <v>164</v>
      </c>
    </row>
    <row r="187" spans="1:2" x14ac:dyDescent="0.25">
      <c r="A187" s="1">
        <v>43304</v>
      </c>
      <c r="B187">
        <v>172</v>
      </c>
    </row>
    <row r="188" spans="1:2" x14ac:dyDescent="0.25">
      <c r="A188" s="1">
        <v>43311</v>
      </c>
      <c r="B188">
        <v>160</v>
      </c>
    </row>
    <row r="189" spans="1:2" x14ac:dyDescent="0.25">
      <c r="A189" s="1">
        <v>43318</v>
      </c>
      <c r="B189">
        <v>195</v>
      </c>
    </row>
    <row r="190" spans="1:2" x14ac:dyDescent="0.25">
      <c r="A190" s="1">
        <v>43325</v>
      </c>
      <c r="B190">
        <v>177</v>
      </c>
    </row>
    <row r="191" spans="1:2" x14ac:dyDescent="0.25">
      <c r="A191" s="1">
        <v>43332</v>
      </c>
      <c r="B191">
        <v>144</v>
      </c>
    </row>
    <row r="192" spans="1:2" x14ac:dyDescent="0.25">
      <c r="A192" s="1">
        <v>43339</v>
      </c>
      <c r="B192">
        <v>140</v>
      </c>
    </row>
    <row r="193" spans="1:2" x14ac:dyDescent="0.25">
      <c r="A193" s="1">
        <v>43346</v>
      </c>
      <c r="B193">
        <v>171</v>
      </c>
    </row>
    <row r="194" spans="1:2" x14ac:dyDescent="0.25">
      <c r="A194" s="1">
        <v>43353</v>
      </c>
      <c r="B194">
        <v>142</v>
      </c>
    </row>
    <row r="195" spans="1:2" x14ac:dyDescent="0.25">
      <c r="A195" s="1">
        <v>43360</v>
      </c>
      <c r="B195">
        <v>161</v>
      </c>
    </row>
    <row r="196" spans="1:2" x14ac:dyDescent="0.25">
      <c r="A196" s="1">
        <v>43367</v>
      </c>
      <c r="B196">
        <v>146</v>
      </c>
    </row>
    <row r="197" spans="1:2" x14ac:dyDescent="0.25">
      <c r="A197" s="1">
        <v>43374</v>
      </c>
      <c r="B197">
        <v>143</v>
      </c>
    </row>
    <row r="198" spans="1:2" x14ac:dyDescent="0.25">
      <c r="A198" s="1">
        <v>43381</v>
      </c>
      <c r="B198">
        <v>174</v>
      </c>
    </row>
    <row r="199" spans="1:2" x14ac:dyDescent="0.25">
      <c r="A199" s="1">
        <v>43388</v>
      </c>
      <c r="B199">
        <v>167</v>
      </c>
    </row>
    <row r="200" spans="1:2" x14ac:dyDescent="0.25">
      <c r="A200" s="1">
        <v>43395</v>
      </c>
      <c r="B200">
        <v>157</v>
      </c>
    </row>
    <row r="201" spans="1:2" x14ac:dyDescent="0.25">
      <c r="A201" s="1">
        <v>43402</v>
      </c>
      <c r="B201">
        <v>149</v>
      </c>
    </row>
    <row r="202" spans="1:2" x14ac:dyDescent="0.25">
      <c r="A202" s="1">
        <v>43409</v>
      </c>
      <c r="B202">
        <v>161</v>
      </c>
    </row>
    <row r="203" spans="1:2" x14ac:dyDescent="0.25">
      <c r="A203" s="1">
        <v>43416</v>
      </c>
      <c r="B203">
        <v>176</v>
      </c>
    </row>
    <row r="204" spans="1:2" x14ac:dyDescent="0.25">
      <c r="A204" s="1">
        <v>43423</v>
      </c>
      <c r="B204">
        <v>153</v>
      </c>
    </row>
    <row r="205" spans="1:2" x14ac:dyDescent="0.25">
      <c r="A205" s="1">
        <v>43430</v>
      </c>
      <c r="B205">
        <v>186</v>
      </c>
    </row>
    <row r="206" spans="1:2" x14ac:dyDescent="0.25">
      <c r="A206" s="1">
        <v>43437</v>
      </c>
      <c r="B206">
        <v>190</v>
      </c>
    </row>
    <row r="207" spans="1:2" x14ac:dyDescent="0.25">
      <c r="A207" s="1">
        <v>43444</v>
      </c>
      <c r="B207">
        <v>196</v>
      </c>
    </row>
    <row r="208" spans="1:2" x14ac:dyDescent="0.25">
      <c r="A208" s="1">
        <v>43451</v>
      </c>
      <c r="B208">
        <v>175</v>
      </c>
    </row>
    <row r="209" spans="1:2" x14ac:dyDescent="0.25">
      <c r="A209" s="1">
        <v>43458</v>
      </c>
      <c r="B209">
        <v>161</v>
      </c>
    </row>
    <row r="210" spans="1:2" x14ac:dyDescent="0.25">
      <c r="A210" s="1">
        <v>43465</v>
      </c>
      <c r="B210">
        <v>187</v>
      </c>
    </row>
    <row r="211" spans="1:2" x14ac:dyDescent="0.25">
      <c r="A211" s="1">
        <v>43472</v>
      </c>
      <c r="B211">
        <v>195</v>
      </c>
    </row>
    <row r="212" spans="1:2" x14ac:dyDescent="0.25">
      <c r="A212" s="1">
        <v>43479</v>
      </c>
      <c r="B212">
        <v>203</v>
      </c>
    </row>
    <row r="213" spans="1:2" x14ac:dyDescent="0.25">
      <c r="A213" s="1">
        <v>43486</v>
      </c>
      <c r="B213">
        <v>202</v>
      </c>
    </row>
    <row r="214" spans="1:2" x14ac:dyDescent="0.25">
      <c r="A214" s="1">
        <v>43493</v>
      </c>
      <c r="B214">
        <v>192</v>
      </c>
    </row>
    <row r="215" spans="1:2" x14ac:dyDescent="0.25">
      <c r="A215" s="1">
        <v>43500</v>
      </c>
      <c r="B215">
        <v>195</v>
      </c>
    </row>
    <row r="216" spans="1:2" x14ac:dyDescent="0.25">
      <c r="A216" s="1">
        <v>43507</v>
      </c>
      <c r="B216">
        <v>190</v>
      </c>
    </row>
    <row r="217" spans="1:2" x14ac:dyDescent="0.25">
      <c r="A217" s="1">
        <v>43514</v>
      </c>
      <c r="B217">
        <v>202</v>
      </c>
    </row>
    <row r="218" spans="1:2" x14ac:dyDescent="0.25">
      <c r="A218" s="1">
        <v>43521</v>
      </c>
      <c r="B218">
        <v>202</v>
      </c>
    </row>
    <row r="219" spans="1:2" x14ac:dyDescent="0.25">
      <c r="A219" s="1">
        <v>43528</v>
      </c>
      <c r="B219">
        <v>187</v>
      </c>
    </row>
    <row r="220" spans="1:2" x14ac:dyDescent="0.25">
      <c r="A220" s="1">
        <v>43535</v>
      </c>
      <c r="B220">
        <v>168</v>
      </c>
    </row>
    <row r="221" spans="1:2" x14ac:dyDescent="0.25">
      <c r="A221" s="1">
        <v>43542</v>
      </c>
      <c r="B221">
        <v>163</v>
      </c>
    </row>
    <row r="222" spans="1:2" x14ac:dyDescent="0.25">
      <c r="A222" s="1">
        <v>43549</v>
      </c>
      <c r="B222">
        <v>179</v>
      </c>
    </row>
    <row r="223" spans="1:2" x14ac:dyDescent="0.25">
      <c r="A223" s="1">
        <v>43556</v>
      </c>
      <c r="B223">
        <v>138</v>
      </c>
    </row>
    <row r="224" spans="1:2" x14ac:dyDescent="0.25">
      <c r="A224" s="1">
        <v>43563</v>
      </c>
      <c r="B224">
        <v>174</v>
      </c>
    </row>
    <row r="225" spans="1:2" x14ac:dyDescent="0.25">
      <c r="A225" s="1">
        <v>43570</v>
      </c>
      <c r="B225">
        <v>193</v>
      </c>
    </row>
    <row r="226" spans="1:2" x14ac:dyDescent="0.25">
      <c r="A226" s="1">
        <v>43577</v>
      </c>
      <c r="B226">
        <v>169</v>
      </c>
    </row>
    <row r="227" spans="1:2" x14ac:dyDescent="0.25">
      <c r="A227" s="1">
        <v>43584</v>
      </c>
      <c r="B227">
        <v>146</v>
      </c>
    </row>
    <row r="228" spans="1:2" x14ac:dyDescent="0.25">
      <c r="A228" s="1">
        <v>43591</v>
      </c>
      <c r="B228">
        <v>165</v>
      </c>
    </row>
    <row r="229" spans="1:2" x14ac:dyDescent="0.25">
      <c r="A229" s="1">
        <v>43598</v>
      </c>
      <c r="B229">
        <v>171</v>
      </c>
    </row>
    <row r="230" spans="1:2" x14ac:dyDescent="0.25">
      <c r="A230" s="1">
        <v>43605</v>
      </c>
      <c r="B230">
        <v>158</v>
      </c>
    </row>
    <row r="231" spans="1:2" x14ac:dyDescent="0.25">
      <c r="A231" s="1">
        <v>43612</v>
      </c>
      <c r="B231">
        <v>171</v>
      </c>
    </row>
    <row r="232" spans="1:2" x14ac:dyDescent="0.25">
      <c r="A232" s="1">
        <v>43619</v>
      </c>
      <c r="B232">
        <v>169</v>
      </c>
    </row>
    <row r="233" spans="1:2" x14ac:dyDescent="0.25">
      <c r="A233" s="1">
        <v>43626</v>
      </c>
      <c r="B233">
        <v>154</v>
      </c>
    </row>
    <row r="234" spans="1:2" x14ac:dyDescent="0.25">
      <c r="A234" s="1">
        <v>43633</v>
      </c>
      <c r="B234">
        <v>153</v>
      </c>
    </row>
    <row r="235" spans="1:2" x14ac:dyDescent="0.25">
      <c r="A235" s="1">
        <v>43640</v>
      </c>
      <c r="B235">
        <v>184</v>
      </c>
    </row>
    <row r="236" spans="1:2" x14ac:dyDescent="0.25">
      <c r="A236" s="1">
        <v>43647</v>
      </c>
      <c r="B236">
        <v>163</v>
      </c>
    </row>
    <row r="237" spans="1:2" x14ac:dyDescent="0.25">
      <c r="A237" s="1">
        <v>43654</v>
      </c>
      <c r="B237">
        <v>147</v>
      </c>
    </row>
    <row r="238" spans="1:2" x14ac:dyDescent="0.25">
      <c r="A238" s="1">
        <v>43661</v>
      </c>
      <c r="B238">
        <v>152</v>
      </c>
    </row>
    <row r="239" spans="1:2" x14ac:dyDescent="0.25">
      <c r="A239" s="1">
        <v>43668</v>
      </c>
      <c r="B239">
        <v>221</v>
      </c>
    </row>
    <row r="240" spans="1:2" x14ac:dyDescent="0.25">
      <c r="A240" s="1">
        <v>43675</v>
      </c>
      <c r="B240">
        <v>163</v>
      </c>
    </row>
    <row r="241" spans="1:2" x14ac:dyDescent="0.25">
      <c r="A241" s="1">
        <v>43682</v>
      </c>
      <c r="B241">
        <v>174</v>
      </c>
    </row>
    <row r="242" spans="1:2" x14ac:dyDescent="0.25">
      <c r="A242" s="1">
        <v>43689</v>
      </c>
      <c r="B242">
        <v>139</v>
      </c>
    </row>
    <row r="243" spans="1:2" x14ac:dyDescent="0.25">
      <c r="A243" s="1">
        <v>43696</v>
      </c>
      <c r="B243">
        <v>159</v>
      </c>
    </row>
    <row r="244" spans="1:2" x14ac:dyDescent="0.25">
      <c r="A244" s="1">
        <v>43703</v>
      </c>
      <c r="B244">
        <v>165</v>
      </c>
    </row>
    <row r="245" spans="1:2" x14ac:dyDescent="0.25">
      <c r="A245" s="1">
        <v>43710</v>
      </c>
      <c r="B245">
        <v>170</v>
      </c>
    </row>
    <row r="246" spans="1:2" x14ac:dyDescent="0.25">
      <c r="A246" s="1">
        <v>43717</v>
      </c>
      <c r="B246">
        <v>166</v>
      </c>
    </row>
    <row r="247" spans="1:2" x14ac:dyDescent="0.25">
      <c r="A247" s="1">
        <v>43724</v>
      </c>
      <c r="B247">
        <v>156</v>
      </c>
    </row>
    <row r="248" spans="1:2" x14ac:dyDescent="0.25">
      <c r="A248" s="1">
        <v>43731</v>
      </c>
      <c r="B248">
        <v>148</v>
      </c>
    </row>
    <row r="249" spans="1:2" x14ac:dyDescent="0.25">
      <c r="A249" s="1">
        <v>43738</v>
      </c>
      <c r="B249">
        <v>186</v>
      </c>
    </row>
    <row r="250" spans="1:2" x14ac:dyDescent="0.25">
      <c r="A250" s="1">
        <v>43745</v>
      </c>
      <c r="B250">
        <v>141</v>
      </c>
    </row>
    <row r="251" spans="1:2" x14ac:dyDescent="0.25">
      <c r="A251" s="1">
        <v>43752</v>
      </c>
      <c r="B251">
        <v>152</v>
      </c>
    </row>
    <row r="252" spans="1:2" x14ac:dyDescent="0.25">
      <c r="A252" s="1">
        <v>43759</v>
      </c>
      <c r="B252">
        <v>182</v>
      </c>
    </row>
    <row r="253" spans="1:2" x14ac:dyDescent="0.25">
      <c r="A253" s="1">
        <v>43766</v>
      </c>
      <c r="B253">
        <v>167</v>
      </c>
    </row>
    <row r="254" spans="1:2" x14ac:dyDescent="0.25">
      <c r="A254" s="1">
        <v>43773</v>
      </c>
      <c r="B254">
        <v>164</v>
      </c>
    </row>
    <row r="255" spans="1:2" x14ac:dyDescent="0.25">
      <c r="A255" s="1">
        <v>43780</v>
      </c>
      <c r="B255">
        <v>150</v>
      </c>
    </row>
    <row r="256" spans="1:2" x14ac:dyDescent="0.25">
      <c r="A256" s="1">
        <v>43787</v>
      </c>
      <c r="B256">
        <v>179</v>
      </c>
    </row>
    <row r="257" spans="1:2" x14ac:dyDescent="0.25">
      <c r="A257" s="1">
        <v>43794</v>
      </c>
      <c r="B257">
        <v>152</v>
      </c>
    </row>
    <row r="258" spans="1:2" x14ac:dyDescent="0.25">
      <c r="A258" s="1">
        <v>43801</v>
      </c>
      <c r="B258">
        <v>150</v>
      </c>
    </row>
    <row r="259" spans="1:2" x14ac:dyDescent="0.25">
      <c r="A259" s="1">
        <v>43808</v>
      </c>
      <c r="B259">
        <v>176</v>
      </c>
    </row>
    <row r="260" spans="1:2" x14ac:dyDescent="0.25">
      <c r="A260" s="1">
        <v>43815</v>
      </c>
      <c r="B260">
        <v>189</v>
      </c>
    </row>
    <row r="261" spans="1:2" x14ac:dyDescent="0.25">
      <c r="A261" s="1">
        <v>43822</v>
      </c>
      <c r="B261">
        <v>166</v>
      </c>
    </row>
    <row r="262" spans="1:2" x14ac:dyDescent="0.25">
      <c r="A262" s="1">
        <v>43829</v>
      </c>
      <c r="B262">
        <v>180</v>
      </c>
    </row>
    <row r="263" spans="1:2" x14ac:dyDescent="0.25">
      <c r="A263" s="1">
        <v>43836</v>
      </c>
      <c r="B263">
        <v>185</v>
      </c>
    </row>
    <row r="264" spans="1:2" x14ac:dyDescent="0.25">
      <c r="A264" s="1">
        <v>43843</v>
      </c>
      <c r="B264">
        <v>168</v>
      </c>
    </row>
    <row r="265" spans="1:2" x14ac:dyDescent="0.25">
      <c r="A265" s="1">
        <v>43850</v>
      </c>
      <c r="B265">
        <v>177</v>
      </c>
    </row>
    <row r="266" spans="1:2" x14ac:dyDescent="0.25">
      <c r="A266" s="1">
        <v>43857</v>
      </c>
      <c r="B266">
        <v>194</v>
      </c>
    </row>
    <row r="267" spans="1:2" x14ac:dyDescent="0.25">
      <c r="A267" s="1">
        <v>43864</v>
      </c>
      <c r="B267">
        <v>188</v>
      </c>
    </row>
    <row r="268" spans="1:2" x14ac:dyDescent="0.25">
      <c r="A268" s="1">
        <v>43871</v>
      </c>
      <c r="B268">
        <v>193</v>
      </c>
    </row>
    <row r="269" spans="1:2" x14ac:dyDescent="0.25">
      <c r="A269" s="1">
        <v>43878</v>
      </c>
      <c r="B269">
        <v>191</v>
      </c>
    </row>
    <row r="270" spans="1:2" x14ac:dyDescent="0.25">
      <c r="A270" s="1">
        <v>43885</v>
      </c>
      <c r="B270">
        <v>190</v>
      </c>
    </row>
    <row r="271" spans="1:2" x14ac:dyDescent="0.25">
      <c r="A271" s="1">
        <v>43892</v>
      </c>
      <c r="B271">
        <v>190</v>
      </c>
    </row>
    <row r="272" spans="1:2" x14ac:dyDescent="0.25">
      <c r="A272" s="1">
        <v>43899</v>
      </c>
      <c r="B272">
        <v>193</v>
      </c>
    </row>
    <row r="273" spans="1:2" x14ac:dyDescent="0.25">
      <c r="A273" s="1">
        <v>43906</v>
      </c>
      <c r="B273">
        <v>254</v>
      </c>
    </row>
    <row r="274" spans="1:2" x14ac:dyDescent="0.25">
      <c r="A274" s="1">
        <v>43913</v>
      </c>
      <c r="B274">
        <v>331</v>
      </c>
    </row>
    <row r="275" spans="1:2" x14ac:dyDescent="0.25">
      <c r="A275" s="1">
        <v>43920</v>
      </c>
      <c r="B275">
        <v>482</v>
      </c>
    </row>
    <row r="276" spans="1:2" x14ac:dyDescent="0.25">
      <c r="A276" s="1">
        <v>43927</v>
      </c>
      <c r="B276">
        <v>515</v>
      </c>
    </row>
    <row r="277" spans="1:2" x14ac:dyDescent="0.25">
      <c r="A277" s="1">
        <v>43934</v>
      </c>
      <c r="B277">
        <v>373</v>
      </c>
    </row>
    <row r="278" spans="1:2" x14ac:dyDescent="0.25">
      <c r="A278" s="1">
        <v>43941</v>
      </c>
      <c r="B278">
        <v>309</v>
      </c>
    </row>
    <row r="279" spans="1:2" x14ac:dyDescent="0.25">
      <c r="A279" s="1">
        <v>43948</v>
      </c>
      <c r="B279">
        <v>235</v>
      </c>
    </row>
    <row r="280" spans="1:2" x14ac:dyDescent="0.25">
      <c r="A280" s="1">
        <v>43955</v>
      </c>
      <c r="B280">
        <v>192</v>
      </c>
    </row>
    <row r="281" spans="1:2" x14ac:dyDescent="0.25">
      <c r="A281" s="1">
        <v>43962</v>
      </c>
      <c r="B281">
        <v>175</v>
      </c>
    </row>
    <row r="282" spans="1:2" x14ac:dyDescent="0.25">
      <c r="A282" s="1">
        <v>43969</v>
      </c>
      <c r="B282">
        <v>169</v>
      </c>
    </row>
    <row r="283" spans="1:2" x14ac:dyDescent="0.25">
      <c r="A283" s="1">
        <v>43976</v>
      </c>
      <c r="B283">
        <v>148</v>
      </c>
    </row>
    <row r="284" spans="1:2" x14ac:dyDescent="0.25">
      <c r="A284" s="1">
        <v>43983</v>
      </c>
      <c r="B284">
        <v>147</v>
      </c>
    </row>
    <row r="285" spans="1:2" x14ac:dyDescent="0.25">
      <c r="A285" s="1">
        <v>43990</v>
      </c>
      <c r="B285">
        <v>143</v>
      </c>
    </row>
    <row r="286" spans="1:2" x14ac:dyDescent="0.25">
      <c r="A286" s="1">
        <v>43997</v>
      </c>
      <c r="B286">
        <v>149</v>
      </c>
    </row>
    <row r="287" spans="1:2" x14ac:dyDescent="0.25">
      <c r="A287" s="1">
        <v>44004</v>
      </c>
      <c r="B287">
        <v>161</v>
      </c>
    </row>
    <row r="288" spans="1:2" x14ac:dyDescent="0.25">
      <c r="A288" s="1">
        <v>44011</v>
      </c>
      <c r="B288">
        <v>141</v>
      </c>
    </row>
    <row r="289" spans="1:2" x14ac:dyDescent="0.25">
      <c r="A289" s="1">
        <v>44018</v>
      </c>
      <c r="B289">
        <v>126</v>
      </c>
    </row>
    <row r="290" spans="1:2" x14ac:dyDescent="0.25">
      <c r="A290" s="1">
        <v>44025</v>
      </c>
      <c r="B290">
        <v>140</v>
      </c>
    </row>
    <row r="291" spans="1:2" x14ac:dyDescent="0.25">
      <c r="A291" s="1">
        <v>44032</v>
      </c>
      <c r="B291">
        <v>159</v>
      </c>
    </row>
    <row r="292" spans="1:2" x14ac:dyDescent="0.25">
      <c r="A292" s="1">
        <v>44039</v>
      </c>
      <c r="B292">
        <v>135</v>
      </c>
    </row>
    <row r="293" spans="1:2" x14ac:dyDescent="0.25">
      <c r="A293" s="1">
        <v>44046</v>
      </c>
      <c r="B293">
        <v>158</v>
      </c>
    </row>
    <row r="294" spans="1:2" x14ac:dyDescent="0.25">
      <c r="A294" s="1">
        <v>44053</v>
      </c>
      <c r="B294">
        <v>251</v>
      </c>
    </row>
    <row r="295" spans="1:2" x14ac:dyDescent="0.25">
      <c r="A295" s="1">
        <v>44060</v>
      </c>
      <c r="B295">
        <v>205</v>
      </c>
    </row>
    <row r="296" spans="1:2" x14ac:dyDescent="0.25">
      <c r="A296" s="1">
        <v>44067</v>
      </c>
      <c r="B296">
        <v>126</v>
      </c>
    </row>
    <row r="297" spans="1:2" x14ac:dyDescent="0.25">
      <c r="A297" s="1">
        <v>44074</v>
      </c>
      <c r="B297">
        <v>155</v>
      </c>
    </row>
    <row r="298" spans="1:2" x14ac:dyDescent="0.25">
      <c r="A298" s="1">
        <v>44081</v>
      </c>
      <c r="B298">
        <v>142</v>
      </c>
    </row>
    <row r="299" spans="1:2" x14ac:dyDescent="0.25">
      <c r="A299" s="1">
        <v>44088</v>
      </c>
      <c r="B299">
        <v>150</v>
      </c>
    </row>
    <row r="300" spans="1:2" x14ac:dyDescent="0.25">
      <c r="A300" s="1">
        <v>44095</v>
      </c>
      <c r="B300">
        <v>155</v>
      </c>
    </row>
    <row r="301" spans="1:2" x14ac:dyDescent="0.25">
      <c r="A301" s="1">
        <v>44102</v>
      </c>
      <c r="B301">
        <v>160</v>
      </c>
    </row>
    <row r="302" spans="1:2" x14ac:dyDescent="0.25">
      <c r="A302" s="1">
        <v>44109</v>
      </c>
      <c r="B302">
        <v>184</v>
      </c>
    </row>
    <row r="303" spans="1:2" x14ac:dyDescent="0.25">
      <c r="A303" s="1">
        <v>44116</v>
      </c>
      <c r="B303">
        <v>178</v>
      </c>
    </row>
    <row r="304" spans="1:2" x14ac:dyDescent="0.25">
      <c r="A304" s="1">
        <v>44123</v>
      </c>
      <c r="B304">
        <v>250</v>
      </c>
    </row>
    <row r="305" spans="1:2" x14ac:dyDescent="0.25">
      <c r="A305" s="1">
        <v>44130</v>
      </c>
      <c r="B305">
        <v>316</v>
      </c>
    </row>
    <row r="306" spans="1:2" x14ac:dyDescent="0.25">
      <c r="A306" s="1">
        <v>44137</v>
      </c>
      <c r="B306">
        <v>326</v>
      </c>
    </row>
    <row r="307" spans="1:2" x14ac:dyDescent="0.25">
      <c r="A307" s="1">
        <v>44144</v>
      </c>
      <c r="B307">
        <v>294</v>
      </c>
    </row>
    <row r="308" spans="1:2" x14ac:dyDescent="0.25">
      <c r="A308" s="1">
        <v>44151</v>
      </c>
      <c r="B308">
        <v>276</v>
      </c>
    </row>
    <row r="309" spans="1:2" x14ac:dyDescent="0.25">
      <c r="A309" s="1">
        <v>44158</v>
      </c>
      <c r="B309">
        <v>262</v>
      </c>
    </row>
    <row r="310" spans="1:2" x14ac:dyDescent="0.25">
      <c r="A310" s="1">
        <v>44165</v>
      </c>
      <c r="B310">
        <v>188</v>
      </c>
    </row>
    <row r="311" spans="1:2" x14ac:dyDescent="0.25">
      <c r="A311" s="1">
        <v>44172</v>
      </c>
      <c r="B311">
        <v>225</v>
      </c>
    </row>
    <row r="312" spans="1:2" x14ac:dyDescent="0.25">
      <c r="A312" s="1">
        <v>44179</v>
      </c>
      <c r="B312">
        <v>202</v>
      </c>
    </row>
    <row r="313" spans="1:2" x14ac:dyDescent="0.25">
      <c r="A313" s="1">
        <v>44186</v>
      </c>
      <c r="B313">
        <v>190</v>
      </c>
    </row>
    <row r="314" spans="1:2" x14ac:dyDescent="0.25">
      <c r="A314" s="1">
        <v>44193</v>
      </c>
      <c r="B314">
        <v>188</v>
      </c>
    </row>
    <row r="315" spans="1:2" x14ac:dyDescent="0.25">
      <c r="A315" s="1">
        <v>44200</v>
      </c>
      <c r="B315">
        <v>175</v>
      </c>
    </row>
    <row r="316" spans="1:2" x14ac:dyDescent="0.25">
      <c r="A316" s="1">
        <v>44207</v>
      </c>
      <c r="B316">
        <v>154</v>
      </c>
    </row>
    <row r="317" spans="1:2" x14ac:dyDescent="0.25">
      <c r="A317" s="1">
        <v>44214</v>
      </c>
      <c r="B317">
        <v>168</v>
      </c>
    </row>
    <row r="318" spans="1:2" x14ac:dyDescent="0.25">
      <c r="A318" s="1">
        <v>44221</v>
      </c>
      <c r="B318">
        <v>192</v>
      </c>
    </row>
    <row r="319" spans="1:2" x14ac:dyDescent="0.25">
      <c r="A319" s="1">
        <v>44228</v>
      </c>
      <c r="B319">
        <v>169</v>
      </c>
    </row>
    <row r="320" spans="1:2" x14ac:dyDescent="0.25">
      <c r="A320" s="1">
        <v>44235</v>
      </c>
      <c r="B320">
        <v>171</v>
      </c>
    </row>
    <row r="321" spans="1:2" x14ac:dyDescent="0.25">
      <c r="A321" s="1">
        <v>44242</v>
      </c>
      <c r="B321">
        <v>165</v>
      </c>
    </row>
    <row r="322" spans="1:2" x14ac:dyDescent="0.25">
      <c r="A322" s="1">
        <v>44249</v>
      </c>
      <c r="B322">
        <v>161</v>
      </c>
    </row>
    <row r="323" spans="1:2" x14ac:dyDescent="0.25">
      <c r="A323" s="1">
        <v>44256</v>
      </c>
      <c r="B323">
        <v>178</v>
      </c>
    </row>
    <row r="324" spans="1:2" x14ac:dyDescent="0.25">
      <c r="A324" s="1">
        <v>44263</v>
      </c>
      <c r="B324">
        <v>166</v>
      </c>
    </row>
    <row r="325" spans="1:2" x14ac:dyDescent="0.25">
      <c r="A325" s="1">
        <v>44270</v>
      </c>
      <c r="B325">
        <v>174</v>
      </c>
    </row>
    <row r="326" spans="1:2" x14ac:dyDescent="0.25">
      <c r="A326" s="1">
        <v>44277</v>
      </c>
      <c r="B326">
        <v>155</v>
      </c>
    </row>
    <row r="327" spans="1:2" x14ac:dyDescent="0.25">
      <c r="A327" s="1">
        <v>44284</v>
      </c>
      <c r="B327">
        <v>189</v>
      </c>
    </row>
    <row r="328" spans="1:2" x14ac:dyDescent="0.25">
      <c r="A328" s="1">
        <v>44291</v>
      </c>
      <c r="B328">
        <v>184</v>
      </c>
    </row>
    <row r="329" spans="1:2" x14ac:dyDescent="0.25">
      <c r="A329" s="1">
        <v>44298</v>
      </c>
      <c r="B329">
        <v>188</v>
      </c>
    </row>
    <row r="330" spans="1:2" x14ac:dyDescent="0.25">
      <c r="A330" s="1">
        <v>44305</v>
      </c>
      <c r="B330">
        <v>172</v>
      </c>
    </row>
    <row r="331" spans="1:2" x14ac:dyDescent="0.25">
      <c r="A331" s="1">
        <v>44312</v>
      </c>
      <c r="B331">
        <v>185</v>
      </c>
    </row>
    <row r="332" spans="1:2" x14ac:dyDescent="0.25">
      <c r="A332" s="1">
        <v>44319</v>
      </c>
      <c r="B332">
        <v>223</v>
      </c>
    </row>
    <row r="333" spans="1:2" x14ac:dyDescent="0.25">
      <c r="A333" s="1">
        <v>44326</v>
      </c>
      <c r="B333">
        <v>150</v>
      </c>
    </row>
    <row r="334" spans="1:2" x14ac:dyDescent="0.25">
      <c r="A334" s="1">
        <v>44333</v>
      </c>
      <c r="B334">
        <v>159</v>
      </c>
    </row>
    <row r="335" spans="1:2" x14ac:dyDescent="0.25">
      <c r="A335" s="1">
        <v>44340</v>
      </c>
      <c r="B335">
        <v>163</v>
      </c>
    </row>
    <row r="336" spans="1:2" x14ac:dyDescent="0.25">
      <c r="A336" s="1">
        <v>44347</v>
      </c>
      <c r="B336">
        <v>165</v>
      </c>
    </row>
    <row r="337" spans="1:2" x14ac:dyDescent="0.25">
      <c r="A337" s="1">
        <v>44354</v>
      </c>
      <c r="B337">
        <v>149</v>
      </c>
    </row>
    <row r="338" spans="1:2" x14ac:dyDescent="0.25">
      <c r="A338" s="1">
        <v>44361</v>
      </c>
      <c r="B338">
        <v>175</v>
      </c>
    </row>
    <row r="339" spans="1:2" x14ac:dyDescent="0.25">
      <c r="A339" s="1">
        <v>44368</v>
      </c>
      <c r="B339">
        <v>144</v>
      </c>
    </row>
    <row r="340" spans="1:2" x14ac:dyDescent="0.25">
      <c r="A340" s="1">
        <v>44375</v>
      </c>
      <c r="B340">
        <v>153</v>
      </c>
    </row>
    <row r="341" spans="1:2" x14ac:dyDescent="0.25">
      <c r="A341" s="1">
        <v>44382</v>
      </c>
      <c r="B341">
        <v>134</v>
      </c>
    </row>
    <row r="342" spans="1:2" x14ac:dyDescent="0.25">
      <c r="A342" s="1">
        <v>44389</v>
      </c>
      <c r="B342">
        <v>137</v>
      </c>
    </row>
    <row r="343" spans="1:2" x14ac:dyDescent="0.25">
      <c r="A343" s="1">
        <v>44396</v>
      </c>
      <c r="B343">
        <v>155</v>
      </c>
    </row>
    <row r="344" spans="1:2" x14ac:dyDescent="0.25">
      <c r="A344" s="1">
        <v>44403</v>
      </c>
      <c r="B344">
        <v>146</v>
      </c>
    </row>
    <row r="345" spans="1:2" x14ac:dyDescent="0.25">
      <c r="A345" s="1">
        <v>44410</v>
      </c>
      <c r="B345">
        <v>159</v>
      </c>
    </row>
    <row r="346" spans="1:2" x14ac:dyDescent="0.25">
      <c r="A346" s="1">
        <v>44417</v>
      </c>
      <c r="B346">
        <v>157</v>
      </c>
    </row>
    <row r="347" spans="1:2" x14ac:dyDescent="0.25">
      <c r="A347" s="1">
        <v>44424</v>
      </c>
      <c r="B347">
        <v>151</v>
      </c>
    </row>
    <row r="348" spans="1:2" x14ac:dyDescent="0.25">
      <c r="A348" s="1">
        <v>44431</v>
      </c>
      <c r="B348">
        <v>153</v>
      </c>
    </row>
    <row r="349" spans="1:2" x14ac:dyDescent="0.25">
      <c r="A349" s="1">
        <v>44438</v>
      </c>
      <c r="B349">
        <v>149</v>
      </c>
    </row>
    <row r="350" spans="1:2" x14ac:dyDescent="0.25">
      <c r="A350" s="1">
        <v>44445</v>
      </c>
      <c r="B350">
        <v>163</v>
      </c>
    </row>
    <row r="351" spans="1:2" x14ac:dyDescent="0.25">
      <c r="A351" s="1">
        <v>44452</v>
      </c>
      <c r="B351">
        <v>157</v>
      </c>
    </row>
    <row r="352" spans="1:2" x14ac:dyDescent="0.25">
      <c r="A352" s="1">
        <v>44459</v>
      </c>
      <c r="B352">
        <v>150</v>
      </c>
    </row>
    <row r="353" spans="1:2" x14ac:dyDescent="0.25">
      <c r="A353" s="1">
        <v>44466</v>
      </c>
      <c r="B353">
        <v>165</v>
      </c>
    </row>
    <row r="354" spans="1:2" x14ac:dyDescent="0.25">
      <c r="A354" s="1">
        <v>44473</v>
      </c>
      <c r="B354">
        <v>171</v>
      </c>
    </row>
    <row r="355" spans="1:2" x14ac:dyDescent="0.25">
      <c r="A355" s="1">
        <v>44480</v>
      </c>
      <c r="B355">
        <v>180</v>
      </c>
    </row>
    <row r="356" spans="1:2" x14ac:dyDescent="0.25">
      <c r="A356" s="1">
        <v>44487</v>
      </c>
      <c r="B356">
        <v>183</v>
      </c>
    </row>
    <row r="357" spans="1:2" x14ac:dyDescent="0.25">
      <c r="A357" s="1">
        <v>44494</v>
      </c>
      <c r="B357">
        <v>195</v>
      </c>
    </row>
    <row r="358" spans="1:2" x14ac:dyDescent="0.25">
      <c r="A358" s="1">
        <v>44501</v>
      </c>
      <c r="B358">
        <v>174</v>
      </c>
    </row>
    <row r="359" spans="1:2" x14ac:dyDescent="0.25">
      <c r="A359" s="1">
        <v>44508</v>
      </c>
      <c r="B359">
        <v>187</v>
      </c>
    </row>
    <row r="360" spans="1:2" x14ac:dyDescent="0.25">
      <c r="A360" s="1">
        <v>44515</v>
      </c>
      <c r="B360">
        <v>197</v>
      </c>
    </row>
    <row r="361" spans="1:2" x14ac:dyDescent="0.25">
      <c r="A361" s="1">
        <v>44522</v>
      </c>
      <c r="B361">
        <v>181</v>
      </c>
    </row>
    <row r="362" spans="1:2" x14ac:dyDescent="0.25">
      <c r="A362" s="1">
        <v>44529</v>
      </c>
      <c r="B362">
        <v>190</v>
      </c>
    </row>
    <row r="363" spans="1:2" x14ac:dyDescent="0.25">
      <c r="A363" s="1">
        <v>44536</v>
      </c>
      <c r="B363">
        <v>182</v>
      </c>
    </row>
    <row r="364" spans="1:2" x14ac:dyDescent="0.25">
      <c r="A364" s="1">
        <v>44543</v>
      </c>
      <c r="B364">
        <v>189</v>
      </c>
    </row>
    <row r="365" spans="1:2" x14ac:dyDescent="0.25">
      <c r="A365" s="1">
        <v>44550</v>
      </c>
      <c r="B365">
        <v>199</v>
      </c>
    </row>
    <row r="366" spans="1:2" x14ac:dyDescent="0.25">
      <c r="A366" s="1">
        <v>44557</v>
      </c>
      <c r="B366">
        <v>203</v>
      </c>
    </row>
    <row r="367" spans="1:2" x14ac:dyDescent="0.25">
      <c r="A367" s="1">
        <v>44564</v>
      </c>
      <c r="B367">
        <v>203</v>
      </c>
    </row>
    <row r="368" spans="1:2" x14ac:dyDescent="0.25">
      <c r="A368" s="1">
        <v>44571</v>
      </c>
      <c r="B368">
        <v>172</v>
      </c>
    </row>
    <row r="369" spans="1:2" x14ac:dyDescent="0.25">
      <c r="A369" s="1">
        <v>44578</v>
      </c>
      <c r="B369">
        <v>207</v>
      </c>
    </row>
    <row r="370" spans="1:2" x14ac:dyDescent="0.25">
      <c r="A370" s="1">
        <v>44585</v>
      </c>
      <c r="B370">
        <v>214</v>
      </c>
    </row>
    <row r="371" spans="1:2" x14ac:dyDescent="0.25">
      <c r="A371" s="1">
        <v>44592</v>
      </c>
      <c r="B371">
        <v>223</v>
      </c>
    </row>
    <row r="372" spans="1:2" x14ac:dyDescent="0.25">
      <c r="A372" s="1">
        <v>44599</v>
      </c>
      <c r="B372">
        <v>209</v>
      </c>
    </row>
    <row r="373" spans="1:2" x14ac:dyDescent="0.25">
      <c r="A373" s="1">
        <v>44606</v>
      </c>
      <c r="B373">
        <v>164</v>
      </c>
    </row>
    <row r="374" spans="1:2" x14ac:dyDescent="0.25">
      <c r="A374" s="1">
        <v>44613</v>
      </c>
      <c r="B374">
        <v>152</v>
      </c>
    </row>
    <row r="375" spans="1:2" x14ac:dyDescent="0.25">
      <c r="A375" s="1">
        <v>44620</v>
      </c>
      <c r="B375">
        <v>136</v>
      </c>
    </row>
    <row r="376" spans="1:2" x14ac:dyDescent="0.25">
      <c r="A376" s="1">
        <v>44627</v>
      </c>
      <c r="B376">
        <v>205</v>
      </c>
    </row>
    <row r="377" spans="1:2" x14ac:dyDescent="0.25">
      <c r="A377" s="1">
        <v>44634</v>
      </c>
      <c r="B377">
        <v>188</v>
      </c>
    </row>
    <row r="378" spans="1:2" x14ac:dyDescent="0.25">
      <c r="A378" s="1">
        <v>44641</v>
      </c>
      <c r="B378">
        <v>162</v>
      </c>
    </row>
    <row r="379" spans="1:2" x14ac:dyDescent="0.25">
      <c r="A379" s="1">
        <v>44648</v>
      </c>
      <c r="B379">
        <v>178</v>
      </c>
    </row>
    <row r="380" spans="1:2" x14ac:dyDescent="0.25">
      <c r="A380" s="1">
        <v>44655</v>
      </c>
      <c r="B380">
        <v>176</v>
      </c>
    </row>
    <row r="381" spans="1:2" x14ac:dyDescent="0.25">
      <c r="A381" s="1">
        <v>44662</v>
      </c>
      <c r="B381">
        <v>193</v>
      </c>
    </row>
    <row r="382" spans="1:2" x14ac:dyDescent="0.25">
      <c r="A382" s="1">
        <v>44669</v>
      </c>
      <c r="B382">
        <v>179</v>
      </c>
    </row>
    <row r="383" spans="1:2" x14ac:dyDescent="0.25">
      <c r="A383" s="1">
        <v>44676</v>
      </c>
      <c r="B383">
        <v>149</v>
      </c>
    </row>
    <row r="384" spans="1:2" x14ac:dyDescent="0.25">
      <c r="A384" s="1">
        <v>44683</v>
      </c>
      <c r="B384">
        <v>169</v>
      </c>
    </row>
    <row r="385" spans="1:2" x14ac:dyDescent="0.25">
      <c r="A385" s="1">
        <v>44690</v>
      </c>
      <c r="B385">
        <v>142</v>
      </c>
    </row>
    <row r="386" spans="1:2" x14ac:dyDescent="0.25">
      <c r="A386" s="1">
        <v>44697</v>
      </c>
      <c r="B386">
        <v>161</v>
      </c>
    </row>
    <row r="387" spans="1:2" x14ac:dyDescent="0.25">
      <c r="A387" s="1">
        <v>44704</v>
      </c>
      <c r="B387">
        <v>148</v>
      </c>
    </row>
    <row r="388" spans="1:2" x14ac:dyDescent="0.25">
      <c r="A388" s="1">
        <v>44711</v>
      </c>
      <c r="B388">
        <v>147</v>
      </c>
    </row>
    <row r="389" spans="1:2" x14ac:dyDescent="0.25">
      <c r="A389" s="1">
        <v>44718</v>
      </c>
      <c r="B389">
        <v>149</v>
      </c>
    </row>
    <row r="390" spans="1:2" x14ac:dyDescent="0.25">
      <c r="A390" s="1">
        <v>44725</v>
      </c>
      <c r="B390">
        <v>168</v>
      </c>
    </row>
    <row r="391" spans="1:2" x14ac:dyDescent="0.25">
      <c r="A391" s="1">
        <v>44732</v>
      </c>
      <c r="B391">
        <v>165</v>
      </c>
    </row>
    <row r="392" spans="1:2" x14ac:dyDescent="0.25">
      <c r="A392" s="1">
        <v>44739</v>
      </c>
      <c r="B392">
        <v>153</v>
      </c>
    </row>
    <row r="393" spans="1:2" x14ac:dyDescent="0.25">
      <c r="A393" s="1">
        <v>44746</v>
      </c>
      <c r="B393">
        <v>151</v>
      </c>
    </row>
    <row r="394" spans="1:2" x14ac:dyDescent="0.25">
      <c r="A394" s="1">
        <v>44753</v>
      </c>
      <c r="B394">
        <v>140</v>
      </c>
    </row>
    <row r="395" spans="1:2" x14ac:dyDescent="0.25">
      <c r="A395" s="1">
        <v>44760</v>
      </c>
      <c r="B395">
        <v>199</v>
      </c>
    </row>
    <row r="396" spans="1:2" x14ac:dyDescent="0.25">
      <c r="A396" s="1">
        <v>44767</v>
      </c>
      <c r="B396">
        <v>168</v>
      </c>
    </row>
    <row r="397" spans="1:2" x14ac:dyDescent="0.25">
      <c r="A397" s="1">
        <v>44774</v>
      </c>
      <c r="B397">
        <v>161</v>
      </c>
    </row>
    <row r="398" spans="1:2" x14ac:dyDescent="0.25">
      <c r="A398" s="1">
        <v>44781</v>
      </c>
      <c r="B398">
        <v>177</v>
      </c>
    </row>
    <row r="399" spans="1:2" x14ac:dyDescent="0.25">
      <c r="A399" s="1">
        <v>44788</v>
      </c>
      <c r="B399">
        <v>149</v>
      </c>
    </row>
    <row r="400" spans="1:2" x14ac:dyDescent="0.25">
      <c r="A400" s="1">
        <v>44795</v>
      </c>
      <c r="B400">
        <v>164</v>
      </c>
    </row>
    <row r="401" spans="1:2" x14ac:dyDescent="0.25">
      <c r="A401" s="1">
        <v>44802</v>
      </c>
      <c r="B401">
        <v>138</v>
      </c>
    </row>
    <row r="402" spans="1:2" x14ac:dyDescent="0.25">
      <c r="A402" s="1">
        <v>44809</v>
      </c>
      <c r="B402">
        <v>170</v>
      </c>
    </row>
    <row r="403" spans="1:2" x14ac:dyDescent="0.25">
      <c r="A403" s="1">
        <v>44816</v>
      </c>
      <c r="B403">
        <v>143</v>
      </c>
    </row>
    <row r="404" spans="1:2" x14ac:dyDescent="0.25">
      <c r="A404" s="1">
        <v>44823</v>
      </c>
      <c r="B404">
        <v>135</v>
      </c>
    </row>
    <row r="405" spans="1:2" x14ac:dyDescent="0.25">
      <c r="A405" s="1">
        <v>44830</v>
      </c>
      <c r="B405">
        <v>150</v>
      </c>
    </row>
    <row r="406" spans="1:2" x14ac:dyDescent="0.25">
      <c r="A406" s="1">
        <v>44837</v>
      </c>
      <c r="B406">
        <v>180</v>
      </c>
    </row>
    <row r="407" spans="1:2" x14ac:dyDescent="0.25">
      <c r="A407" s="1">
        <v>44844</v>
      </c>
      <c r="B407">
        <v>151</v>
      </c>
    </row>
    <row r="408" spans="1:2" x14ac:dyDescent="0.25">
      <c r="A408" s="1">
        <v>44851</v>
      </c>
      <c r="B408">
        <v>170</v>
      </c>
    </row>
    <row r="409" spans="1:2" x14ac:dyDescent="0.25">
      <c r="A409" s="1">
        <v>44858</v>
      </c>
      <c r="B409">
        <v>186</v>
      </c>
    </row>
    <row r="410" spans="1:2" x14ac:dyDescent="0.25">
      <c r="A410" s="1">
        <v>44865</v>
      </c>
      <c r="B410">
        <v>166</v>
      </c>
    </row>
    <row r="411" spans="1:2" x14ac:dyDescent="0.25">
      <c r="A411" s="1">
        <v>44872</v>
      </c>
      <c r="B411">
        <v>165</v>
      </c>
    </row>
    <row r="412" spans="1:2" x14ac:dyDescent="0.25">
      <c r="A412" s="1">
        <v>44879</v>
      </c>
      <c r="B412">
        <v>144</v>
      </c>
    </row>
    <row r="413" spans="1:2" x14ac:dyDescent="0.25">
      <c r="A413" s="1">
        <v>44886</v>
      </c>
      <c r="B413">
        <v>185</v>
      </c>
    </row>
    <row r="414" spans="1:2" x14ac:dyDescent="0.25">
      <c r="A414" s="1">
        <v>44893</v>
      </c>
      <c r="B414">
        <v>170</v>
      </c>
    </row>
    <row r="415" spans="1:2" x14ac:dyDescent="0.25">
      <c r="A415" s="1">
        <v>44900</v>
      </c>
      <c r="B415">
        <v>154</v>
      </c>
    </row>
    <row r="416" spans="1:2" x14ac:dyDescent="0.25">
      <c r="A416" s="1">
        <v>44907</v>
      </c>
      <c r="B416">
        <v>212</v>
      </c>
    </row>
    <row r="417" spans="1:2" x14ac:dyDescent="0.25">
      <c r="A417" s="1">
        <v>44914</v>
      </c>
      <c r="B417">
        <v>234</v>
      </c>
    </row>
    <row r="418" spans="1:2" x14ac:dyDescent="0.25">
      <c r="A418" s="1">
        <v>44921</v>
      </c>
      <c r="B418">
        <v>217</v>
      </c>
    </row>
    <row r="419" spans="1:2" x14ac:dyDescent="0.25">
      <c r="A419" s="1">
        <v>44928</v>
      </c>
      <c r="B419">
        <v>212</v>
      </c>
    </row>
    <row r="420" spans="1:2" x14ac:dyDescent="0.25">
      <c r="A420" s="1">
        <v>44935</v>
      </c>
      <c r="B420">
        <v>224</v>
      </c>
    </row>
    <row r="421" spans="1:2" x14ac:dyDescent="0.25">
      <c r="A421" s="1">
        <v>44942</v>
      </c>
      <c r="B421">
        <v>171</v>
      </c>
    </row>
    <row r="422" spans="1:2" x14ac:dyDescent="0.25">
      <c r="A422" s="1">
        <v>44949</v>
      </c>
      <c r="B422">
        <v>159</v>
      </c>
    </row>
    <row r="423" spans="1:2" x14ac:dyDescent="0.25">
      <c r="A423" s="1">
        <v>44956</v>
      </c>
      <c r="B423">
        <v>185</v>
      </c>
    </row>
    <row r="424" spans="1:2" x14ac:dyDescent="0.25">
      <c r="A424" s="1">
        <v>44963</v>
      </c>
      <c r="B424">
        <v>187</v>
      </c>
    </row>
    <row r="425" spans="1:2" x14ac:dyDescent="0.25">
      <c r="A425" s="1">
        <v>44970</v>
      </c>
      <c r="B425">
        <v>168</v>
      </c>
    </row>
    <row r="426" spans="1:2" x14ac:dyDescent="0.25">
      <c r="A426" s="1">
        <v>44977</v>
      </c>
      <c r="B426">
        <v>159</v>
      </c>
    </row>
    <row r="427" spans="1:2" x14ac:dyDescent="0.25">
      <c r="A427" s="1">
        <v>44984</v>
      </c>
      <c r="B427">
        <v>166</v>
      </c>
    </row>
    <row r="428" spans="1:2" x14ac:dyDescent="0.25">
      <c r="A428" s="1">
        <v>44991</v>
      </c>
      <c r="B428">
        <v>170</v>
      </c>
    </row>
    <row r="429" spans="1:2" x14ac:dyDescent="0.25">
      <c r="A429" s="1">
        <v>44998</v>
      </c>
      <c r="B429">
        <v>164</v>
      </c>
    </row>
    <row r="430" spans="1:2" x14ac:dyDescent="0.25">
      <c r="A430" s="1">
        <v>45005</v>
      </c>
      <c r="B430">
        <v>151</v>
      </c>
    </row>
    <row r="431" spans="1:2" x14ac:dyDescent="0.25">
      <c r="A431" s="1">
        <v>45012</v>
      </c>
      <c r="B431">
        <v>178</v>
      </c>
    </row>
    <row r="432" spans="1:2" x14ac:dyDescent="0.25">
      <c r="A432" s="1">
        <v>45019</v>
      </c>
      <c r="B432">
        <v>166</v>
      </c>
    </row>
    <row r="433" spans="1:2" x14ac:dyDescent="0.25">
      <c r="A433" s="1">
        <v>45026</v>
      </c>
      <c r="B433">
        <v>170</v>
      </c>
    </row>
    <row r="434" spans="1:2" x14ac:dyDescent="0.25">
      <c r="A434" s="1">
        <v>45033</v>
      </c>
      <c r="B434">
        <v>158</v>
      </c>
    </row>
    <row r="435" spans="1:2" x14ac:dyDescent="0.25">
      <c r="A435" s="1">
        <v>45040</v>
      </c>
      <c r="B435">
        <v>167</v>
      </c>
    </row>
    <row r="436" spans="1:2" x14ac:dyDescent="0.25">
      <c r="A436" s="1">
        <v>45047</v>
      </c>
      <c r="B436">
        <v>149</v>
      </c>
    </row>
    <row r="437" spans="1:2" x14ac:dyDescent="0.25">
      <c r="A437" s="1">
        <v>45054</v>
      </c>
      <c r="B437">
        <v>174</v>
      </c>
    </row>
    <row r="438" spans="1:2" x14ac:dyDescent="0.25">
      <c r="A438" s="1">
        <v>45061</v>
      </c>
      <c r="B438">
        <v>158</v>
      </c>
    </row>
    <row r="439" spans="1:2" x14ac:dyDescent="0.25">
      <c r="A439" s="1">
        <v>45068</v>
      </c>
      <c r="B439">
        <v>134</v>
      </c>
    </row>
    <row r="440" spans="1:2" x14ac:dyDescent="0.25">
      <c r="A440" s="1">
        <v>45075</v>
      </c>
      <c r="B440">
        <v>150</v>
      </c>
    </row>
    <row r="441" spans="1:2" x14ac:dyDescent="0.25">
      <c r="A441" s="1">
        <v>45082</v>
      </c>
      <c r="B441">
        <v>164</v>
      </c>
    </row>
    <row r="442" spans="1:2" x14ac:dyDescent="0.25">
      <c r="A442" s="1">
        <v>45089</v>
      </c>
      <c r="B442">
        <v>179</v>
      </c>
    </row>
    <row r="443" spans="1:2" x14ac:dyDescent="0.25">
      <c r="A443" s="1">
        <v>45096</v>
      </c>
      <c r="B443">
        <v>120</v>
      </c>
    </row>
    <row r="444" spans="1:2" x14ac:dyDescent="0.25">
      <c r="A444" s="1">
        <v>45103</v>
      </c>
      <c r="B444">
        <v>162</v>
      </c>
    </row>
    <row r="445" spans="1:2" x14ac:dyDescent="0.25">
      <c r="A445" s="1">
        <v>45110</v>
      </c>
      <c r="B445">
        <v>151</v>
      </c>
    </row>
    <row r="446" spans="1:2" x14ac:dyDescent="0.25">
      <c r="A446" s="1">
        <v>45117</v>
      </c>
      <c r="B446">
        <v>150</v>
      </c>
    </row>
    <row r="447" spans="1:2" x14ac:dyDescent="0.25">
      <c r="A447" s="1">
        <v>45124</v>
      </c>
      <c r="B447">
        <v>142</v>
      </c>
    </row>
    <row r="448" spans="1:2" x14ac:dyDescent="0.25">
      <c r="A448" s="1">
        <v>45131</v>
      </c>
      <c r="B448">
        <v>138</v>
      </c>
    </row>
    <row r="449" spans="1:2" x14ac:dyDescent="0.25">
      <c r="A449" s="1">
        <v>45138</v>
      </c>
      <c r="B449">
        <v>144</v>
      </c>
    </row>
    <row r="450" spans="1:2" x14ac:dyDescent="0.25">
      <c r="A450" s="1">
        <v>45145</v>
      </c>
      <c r="B450">
        <v>141</v>
      </c>
    </row>
    <row r="451" spans="1:2" x14ac:dyDescent="0.25">
      <c r="A451" s="1">
        <v>45152</v>
      </c>
      <c r="B451">
        <v>147</v>
      </c>
    </row>
    <row r="452" spans="1:2" x14ac:dyDescent="0.25">
      <c r="A452" s="1">
        <v>45159</v>
      </c>
      <c r="B452">
        <v>162</v>
      </c>
    </row>
    <row r="453" spans="1:2" x14ac:dyDescent="0.25">
      <c r="A453" s="1">
        <v>45166</v>
      </c>
      <c r="B453">
        <v>157</v>
      </c>
    </row>
    <row r="454" spans="1:2" x14ac:dyDescent="0.25">
      <c r="A454" s="1">
        <v>45173</v>
      </c>
      <c r="B454">
        <v>153</v>
      </c>
    </row>
    <row r="455" spans="1:2" x14ac:dyDescent="0.25">
      <c r="A455" s="1">
        <v>45180</v>
      </c>
      <c r="B455">
        <v>158</v>
      </c>
    </row>
    <row r="456" spans="1:2" x14ac:dyDescent="0.25">
      <c r="A456" s="1">
        <v>45187</v>
      </c>
      <c r="B456">
        <v>147</v>
      </c>
    </row>
    <row r="457" spans="1:2" x14ac:dyDescent="0.25">
      <c r="A457" s="1">
        <v>45194</v>
      </c>
      <c r="B457">
        <v>165</v>
      </c>
    </row>
    <row r="458" spans="1:2" x14ac:dyDescent="0.25">
      <c r="A458" s="1">
        <v>45201</v>
      </c>
      <c r="B458">
        <v>175</v>
      </c>
    </row>
    <row r="459" spans="1:2" x14ac:dyDescent="0.25">
      <c r="A459" s="1">
        <v>45208</v>
      </c>
      <c r="B459">
        <v>155</v>
      </c>
    </row>
    <row r="460" spans="1:2" x14ac:dyDescent="0.25">
      <c r="A460" s="1">
        <v>45215</v>
      </c>
      <c r="B460">
        <v>175</v>
      </c>
    </row>
    <row r="461" spans="1:2" x14ac:dyDescent="0.25">
      <c r="A461" s="1">
        <v>45222</v>
      </c>
      <c r="B461">
        <v>176</v>
      </c>
    </row>
    <row r="462" spans="1:2" x14ac:dyDescent="0.25">
      <c r="A462" s="1">
        <v>45229</v>
      </c>
      <c r="B462">
        <v>159</v>
      </c>
    </row>
    <row r="463" spans="1:2" x14ac:dyDescent="0.25">
      <c r="A463" s="1">
        <v>45236</v>
      </c>
      <c r="B463">
        <v>170</v>
      </c>
    </row>
    <row r="464" spans="1:2" x14ac:dyDescent="0.25">
      <c r="A464" s="1">
        <v>45243</v>
      </c>
      <c r="B464">
        <v>185</v>
      </c>
    </row>
    <row r="465" spans="1:2" x14ac:dyDescent="0.25">
      <c r="A465" s="1">
        <v>45250</v>
      </c>
      <c r="B465">
        <v>150</v>
      </c>
    </row>
    <row r="466" spans="1:2" x14ac:dyDescent="0.25">
      <c r="A466" s="1">
        <v>45257</v>
      </c>
      <c r="B466">
        <v>186</v>
      </c>
    </row>
    <row r="467" spans="1:2" x14ac:dyDescent="0.25">
      <c r="A467" s="1">
        <v>45264</v>
      </c>
      <c r="B467">
        <v>209</v>
      </c>
    </row>
    <row r="468" spans="1:2" x14ac:dyDescent="0.25">
      <c r="A468" s="1">
        <v>45271</v>
      </c>
      <c r="B468">
        <v>199</v>
      </c>
    </row>
    <row r="469" spans="1:2" x14ac:dyDescent="0.25">
      <c r="A469" s="1">
        <v>45278</v>
      </c>
      <c r="B469">
        <v>202</v>
      </c>
    </row>
    <row r="470" spans="1:2" x14ac:dyDescent="0.25">
      <c r="A470" s="1">
        <v>45285</v>
      </c>
      <c r="B470">
        <v>198</v>
      </c>
    </row>
  </sheetData>
  <autoFilter ref="A1:B1" xr:uid="{981AFECF-DF7E-4F20-9583-3EBB92859D3B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15AC-D128-438B-92CE-A6178EC5597A}">
  <dimension ref="A1:P470"/>
  <sheetViews>
    <sheetView topLeftCell="A21" workbookViewId="0">
      <selection activeCell="P2" sqref="P2"/>
    </sheetView>
  </sheetViews>
  <sheetFormatPr defaultRowHeight="15" x14ac:dyDescent="0.25"/>
  <cols>
    <col min="2" max="2" width="10.42578125" bestFit="1" customWidth="1"/>
    <col min="3" max="3" width="10.42578125" customWidth="1"/>
    <col min="4" max="4" width="11.85546875" bestFit="1" customWidth="1"/>
    <col min="6" max="6" width="13.42578125" bestFit="1" customWidth="1"/>
  </cols>
  <sheetData>
    <row r="1" spans="1:16" x14ac:dyDescent="0.25">
      <c r="A1" s="3" t="s">
        <v>0</v>
      </c>
      <c r="B1" s="3" t="s">
        <v>2</v>
      </c>
      <c r="C1" s="3" t="s">
        <v>13</v>
      </c>
      <c r="D1" s="3" t="s">
        <v>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14</v>
      </c>
    </row>
    <row r="2" spans="1:16" x14ac:dyDescent="0.25">
      <c r="A2" s="1">
        <v>42009</v>
      </c>
      <c r="B2" s="2">
        <f>_xlfn.ISOWEEKNUM(A2)</f>
        <v>2</v>
      </c>
      <c r="C2" s="2">
        <f>YEAR(A2)</f>
        <v>2015</v>
      </c>
      <c r="D2">
        <v>232</v>
      </c>
      <c r="F2">
        <v>1</v>
      </c>
      <c r="H2">
        <v>171</v>
      </c>
      <c r="I2">
        <v>198</v>
      </c>
      <c r="J2">
        <v>175</v>
      </c>
      <c r="K2">
        <v>187</v>
      </c>
      <c r="M2">
        <v>175</v>
      </c>
      <c r="N2">
        <v>203</v>
      </c>
      <c r="O2">
        <v>212</v>
      </c>
      <c r="P2">
        <f>AVERAGE(G2:O2)</f>
        <v>188.71428571428572</v>
      </c>
    </row>
    <row r="3" spans="1:16" x14ac:dyDescent="0.25">
      <c r="A3" s="1">
        <v>42016</v>
      </c>
      <c r="B3" s="2">
        <f t="shared" ref="B3:B66" si="0">_xlfn.ISOWEEKNUM(A3)</f>
        <v>3</v>
      </c>
      <c r="C3" s="2">
        <f t="shared" ref="C3:C66" si="1">YEAR(A3)</f>
        <v>2015</v>
      </c>
      <c r="D3">
        <v>194</v>
      </c>
      <c r="F3">
        <v>2</v>
      </c>
      <c r="G3">
        <v>232</v>
      </c>
      <c r="H3">
        <v>191</v>
      </c>
      <c r="I3">
        <v>229</v>
      </c>
      <c r="J3">
        <v>168</v>
      </c>
      <c r="K3">
        <v>195</v>
      </c>
      <c r="L3">
        <v>185</v>
      </c>
      <c r="M3">
        <v>154</v>
      </c>
      <c r="N3">
        <v>172</v>
      </c>
      <c r="O3">
        <v>224</v>
      </c>
      <c r="P3">
        <f t="shared" ref="P3:P54" si="2">AVERAGE(G3:O3)</f>
        <v>194.44444444444446</v>
      </c>
    </row>
    <row r="4" spans="1:16" x14ac:dyDescent="0.25">
      <c r="A4" s="1">
        <v>42023</v>
      </c>
      <c r="B4" s="2">
        <f t="shared" si="0"/>
        <v>4</v>
      </c>
      <c r="C4" s="2">
        <f t="shared" si="1"/>
        <v>2015</v>
      </c>
      <c r="D4">
        <v>226</v>
      </c>
      <c r="F4">
        <v>3</v>
      </c>
      <c r="G4">
        <v>194</v>
      </c>
      <c r="H4">
        <v>182</v>
      </c>
      <c r="I4">
        <v>217</v>
      </c>
      <c r="J4">
        <v>178</v>
      </c>
      <c r="K4">
        <v>203</v>
      </c>
      <c r="L4">
        <v>168</v>
      </c>
      <c r="M4">
        <v>168</v>
      </c>
      <c r="N4">
        <v>207</v>
      </c>
      <c r="O4">
        <v>171</v>
      </c>
      <c r="P4">
        <f t="shared" si="2"/>
        <v>187.55555555555554</v>
      </c>
    </row>
    <row r="5" spans="1:16" x14ac:dyDescent="0.25">
      <c r="A5" s="1">
        <v>42030</v>
      </c>
      <c r="B5" s="2">
        <f t="shared" si="0"/>
        <v>5</v>
      </c>
      <c r="C5" s="2">
        <f t="shared" si="1"/>
        <v>2015</v>
      </c>
      <c r="D5">
        <v>211</v>
      </c>
      <c r="F5">
        <v>4</v>
      </c>
      <c r="G5">
        <v>226</v>
      </c>
      <c r="H5">
        <v>195</v>
      </c>
      <c r="I5">
        <v>219</v>
      </c>
      <c r="J5">
        <v>181</v>
      </c>
      <c r="K5">
        <v>202</v>
      </c>
      <c r="L5">
        <v>177</v>
      </c>
      <c r="M5">
        <v>192</v>
      </c>
      <c r="N5">
        <v>214</v>
      </c>
      <c r="O5">
        <v>159</v>
      </c>
      <c r="P5">
        <f t="shared" si="2"/>
        <v>196.11111111111111</v>
      </c>
    </row>
    <row r="6" spans="1:16" x14ac:dyDescent="0.25">
      <c r="A6" s="1">
        <v>42037</v>
      </c>
      <c r="B6" s="2">
        <f t="shared" si="0"/>
        <v>6</v>
      </c>
      <c r="C6" s="2">
        <f t="shared" si="1"/>
        <v>2015</v>
      </c>
      <c r="D6">
        <v>243</v>
      </c>
      <c r="F6">
        <v>5</v>
      </c>
      <c r="G6">
        <v>211</v>
      </c>
      <c r="H6">
        <v>192</v>
      </c>
      <c r="I6">
        <v>220</v>
      </c>
      <c r="J6">
        <v>196</v>
      </c>
      <c r="K6">
        <v>192</v>
      </c>
      <c r="L6">
        <v>194</v>
      </c>
      <c r="M6">
        <v>169</v>
      </c>
      <c r="N6">
        <v>223</v>
      </c>
      <c r="O6">
        <v>185</v>
      </c>
      <c r="P6">
        <f t="shared" si="2"/>
        <v>198</v>
      </c>
    </row>
    <row r="7" spans="1:16" x14ac:dyDescent="0.25">
      <c r="A7" s="1">
        <v>42044</v>
      </c>
      <c r="B7" s="2">
        <f t="shared" si="0"/>
        <v>7</v>
      </c>
      <c r="C7" s="2">
        <f t="shared" si="1"/>
        <v>2015</v>
      </c>
      <c r="D7">
        <v>241</v>
      </c>
      <c r="F7">
        <v>6</v>
      </c>
      <c r="G7">
        <v>243</v>
      </c>
      <c r="H7">
        <v>167</v>
      </c>
      <c r="I7">
        <v>183</v>
      </c>
      <c r="J7">
        <v>181</v>
      </c>
      <c r="K7">
        <v>195</v>
      </c>
      <c r="L7">
        <v>188</v>
      </c>
      <c r="M7">
        <v>171</v>
      </c>
      <c r="N7">
        <v>209</v>
      </c>
      <c r="O7">
        <v>187</v>
      </c>
      <c r="P7">
        <f t="shared" si="2"/>
        <v>191.55555555555554</v>
      </c>
    </row>
    <row r="8" spans="1:16" x14ac:dyDescent="0.25">
      <c r="A8" s="1">
        <v>42051</v>
      </c>
      <c r="B8" s="2">
        <f t="shared" si="0"/>
        <v>8</v>
      </c>
      <c r="C8" s="2">
        <f t="shared" si="1"/>
        <v>2015</v>
      </c>
      <c r="D8">
        <v>228</v>
      </c>
      <c r="F8">
        <v>7</v>
      </c>
      <c r="G8">
        <v>241</v>
      </c>
      <c r="H8">
        <v>166</v>
      </c>
      <c r="I8">
        <v>194</v>
      </c>
      <c r="J8">
        <v>200</v>
      </c>
      <c r="K8">
        <v>190</v>
      </c>
      <c r="L8">
        <v>193</v>
      </c>
      <c r="M8">
        <v>165</v>
      </c>
      <c r="N8">
        <v>164</v>
      </c>
      <c r="O8">
        <v>168</v>
      </c>
      <c r="P8">
        <f t="shared" si="2"/>
        <v>186.77777777777777</v>
      </c>
    </row>
    <row r="9" spans="1:16" x14ac:dyDescent="0.25">
      <c r="A9" s="1">
        <v>42058</v>
      </c>
      <c r="B9" s="2">
        <f t="shared" si="0"/>
        <v>9</v>
      </c>
      <c r="C9" s="2">
        <f t="shared" si="1"/>
        <v>2015</v>
      </c>
      <c r="D9">
        <v>235</v>
      </c>
      <c r="F9">
        <v>8</v>
      </c>
      <c r="G9">
        <v>228</v>
      </c>
      <c r="H9">
        <v>192</v>
      </c>
      <c r="I9">
        <v>197</v>
      </c>
      <c r="J9">
        <v>184</v>
      </c>
      <c r="K9">
        <v>202</v>
      </c>
      <c r="L9">
        <v>191</v>
      </c>
      <c r="M9">
        <v>161</v>
      </c>
      <c r="N9">
        <v>152</v>
      </c>
      <c r="O9">
        <v>159</v>
      </c>
      <c r="P9">
        <f t="shared" si="2"/>
        <v>185.11111111111111</v>
      </c>
    </row>
    <row r="10" spans="1:16" x14ac:dyDescent="0.25">
      <c r="A10" s="1">
        <v>42065</v>
      </c>
      <c r="B10" s="2">
        <f t="shared" si="0"/>
        <v>10</v>
      </c>
      <c r="C10" s="2">
        <f t="shared" si="1"/>
        <v>2015</v>
      </c>
      <c r="D10">
        <v>224</v>
      </c>
      <c r="F10">
        <v>9</v>
      </c>
      <c r="G10">
        <v>235</v>
      </c>
      <c r="H10">
        <v>186</v>
      </c>
      <c r="I10">
        <v>187</v>
      </c>
      <c r="J10">
        <v>226</v>
      </c>
      <c r="K10">
        <v>202</v>
      </c>
      <c r="L10">
        <v>190</v>
      </c>
      <c r="M10">
        <v>178</v>
      </c>
      <c r="N10">
        <v>136</v>
      </c>
      <c r="O10">
        <v>166</v>
      </c>
      <c r="P10">
        <f t="shared" si="2"/>
        <v>189.55555555555554</v>
      </c>
    </row>
    <row r="11" spans="1:16" x14ac:dyDescent="0.25">
      <c r="A11" s="1">
        <v>42072</v>
      </c>
      <c r="B11" s="2">
        <f t="shared" si="0"/>
        <v>11</v>
      </c>
      <c r="C11" s="2">
        <f t="shared" si="1"/>
        <v>2015</v>
      </c>
      <c r="D11">
        <v>212</v>
      </c>
      <c r="F11">
        <v>10</v>
      </c>
      <c r="G11">
        <v>224</v>
      </c>
      <c r="H11">
        <v>194</v>
      </c>
      <c r="I11">
        <v>195</v>
      </c>
      <c r="J11">
        <v>251</v>
      </c>
      <c r="K11">
        <v>187</v>
      </c>
      <c r="L11">
        <v>190</v>
      </c>
      <c r="M11">
        <v>166</v>
      </c>
      <c r="N11">
        <v>205</v>
      </c>
      <c r="O11">
        <v>170</v>
      </c>
      <c r="P11">
        <f t="shared" si="2"/>
        <v>198</v>
      </c>
    </row>
    <row r="12" spans="1:16" x14ac:dyDescent="0.25">
      <c r="A12" s="1">
        <v>42079</v>
      </c>
      <c r="B12" s="2">
        <f t="shared" si="0"/>
        <v>12</v>
      </c>
      <c r="C12" s="2">
        <f t="shared" si="1"/>
        <v>2015</v>
      </c>
      <c r="D12">
        <v>191</v>
      </c>
      <c r="F12">
        <v>11</v>
      </c>
      <c r="G12">
        <v>212</v>
      </c>
      <c r="H12">
        <v>193</v>
      </c>
      <c r="I12">
        <v>178</v>
      </c>
      <c r="J12">
        <v>200</v>
      </c>
      <c r="K12">
        <v>168</v>
      </c>
      <c r="L12">
        <v>193</v>
      </c>
      <c r="M12">
        <v>174</v>
      </c>
      <c r="N12">
        <v>188</v>
      </c>
      <c r="O12">
        <v>164</v>
      </c>
      <c r="P12">
        <f t="shared" si="2"/>
        <v>185.55555555555554</v>
      </c>
    </row>
    <row r="13" spans="1:16" x14ac:dyDescent="0.25">
      <c r="A13" s="1">
        <v>42086</v>
      </c>
      <c r="B13" s="2">
        <f t="shared" si="0"/>
        <v>13</v>
      </c>
      <c r="C13" s="2">
        <f t="shared" si="1"/>
        <v>2015</v>
      </c>
      <c r="D13">
        <v>177</v>
      </c>
      <c r="F13">
        <v>12</v>
      </c>
      <c r="G13">
        <v>191</v>
      </c>
      <c r="H13">
        <v>232</v>
      </c>
      <c r="I13">
        <v>164</v>
      </c>
      <c r="J13">
        <v>210</v>
      </c>
      <c r="K13">
        <v>163</v>
      </c>
      <c r="L13">
        <v>254</v>
      </c>
      <c r="M13">
        <v>155</v>
      </c>
      <c r="N13">
        <v>162</v>
      </c>
      <c r="O13">
        <v>151</v>
      </c>
      <c r="P13">
        <f t="shared" si="2"/>
        <v>186.88888888888889</v>
      </c>
    </row>
    <row r="14" spans="1:16" x14ac:dyDescent="0.25">
      <c r="A14" s="1">
        <v>42093</v>
      </c>
      <c r="B14" s="2">
        <f t="shared" si="0"/>
        <v>14</v>
      </c>
      <c r="C14" s="2">
        <f t="shared" si="1"/>
        <v>2015</v>
      </c>
      <c r="D14">
        <v>200</v>
      </c>
      <c r="F14">
        <v>13</v>
      </c>
      <c r="G14">
        <v>177</v>
      </c>
      <c r="H14">
        <v>179</v>
      </c>
      <c r="I14">
        <v>164</v>
      </c>
      <c r="J14">
        <v>180</v>
      </c>
      <c r="K14">
        <v>179</v>
      </c>
      <c r="L14">
        <v>331</v>
      </c>
      <c r="M14">
        <v>189</v>
      </c>
      <c r="N14">
        <v>178</v>
      </c>
      <c r="O14">
        <v>178</v>
      </c>
      <c r="P14">
        <f t="shared" si="2"/>
        <v>195</v>
      </c>
    </row>
    <row r="15" spans="1:16" x14ac:dyDescent="0.25">
      <c r="A15" s="1">
        <v>42100</v>
      </c>
      <c r="B15" s="2">
        <f t="shared" si="0"/>
        <v>15</v>
      </c>
      <c r="C15" s="2">
        <f t="shared" si="1"/>
        <v>2015</v>
      </c>
      <c r="D15">
        <v>170</v>
      </c>
      <c r="F15">
        <v>14</v>
      </c>
      <c r="G15">
        <v>200</v>
      </c>
      <c r="H15">
        <v>157</v>
      </c>
      <c r="I15">
        <v>147</v>
      </c>
      <c r="J15">
        <v>187</v>
      </c>
      <c r="K15">
        <v>138</v>
      </c>
      <c r="L15">
        <v>482</v>
      </c>
      <c r="M15">
        <v>184</v>
      </c>
      <c r="N15">
        <v>176</v>
      </c>
      <c r="O15">
        <v>166</v>
      </c>
      <c r="P15">
        <f t="shared" si="2"/>
        <v>204.11111111111111</v>
      </c>
    </row>
    <row r="16" spans="1:16" x14ac:dyDescent="0.25">
      <c r="A16" s="1">
        <v>42107</v>
      </c>
      <c r="B16" s="2">
        <f t="shared" si="0"/>
        <v>16</v>
      </c>
      <c r="C16" s="2">
        <f t="shared" si="1"/>
        <v>2015</v>
      </c>
      <c r="D16">
        <v>178</v>
      </c>
      <c r="F16">
        <v>15</v>
      </c>
      <c r="G16">
        <v>170</v>
      </c>
      <c r="H16">
        <v>178</v>
      </c>
      <c r="I16">
        <v>149</v>
      </c>
      <c r="J16">
        <v>167</v>
      </c>
      <c r="K16">
        <v>174</v>
      </c>
      <c r="L16">
        <v>515</v>
      </c>
      <c r="M16">
        <v>188</v>
      </c>
      <c r="N16">
        <v>193</v>
      </c>
      <c r="O16">
        <v>170</v>
      </c>
      <c r="P16">
        <f t="shared" si="2"/>
        <v>211.55555555555554</v>
      </c>
    </row>
    <row r="17" spans="1:16" x14ac:dyDescent="0.25">
      <c r="A17" s="1">
        <v>42114</v>
      </c>
      <c r="B17" s="2">
        <f t="shared" si="0"/>
        <v>17</v>
      </c>
      <c r="C17" s="2">
        <f t="shared" si="1"/>
        <v>2015</v>
      </c>
      <c r="D17">
        <v>177</v>
      </c>
      <c r="F17">
        <v>16</v>
      </c>
      <c r="G17">
        <v>178</v>
      </c>
      <c r="H17">
        <v>179</v>
      </c>
      <c r="I17">
        <v>155</v>
      </c>
      <c r="J17">
        <v>162</v>
      </c>
      <c r="K17">
        <v>193</v>
      </c>
      <c r="L17">
        <v>373</v>
      </c>
      <c r="M17">
        <v>172</v>
      </c>
      <c r="N17">
        <v>179</v>
      </c>
      <c r="O17">
        <v>158</v>
      </c>
      <c r="P17">
        <f t="shared" si="2"/>
        <v>194.33333333333334</v>
      </c>
    </row>
    <row r="18" spans="1:16" x14ac:dyDescent="0.25">
      <c r="A18" s="1">
        <v>42121</v>
      </c>
      <c r="B18" s="2">
        <f t="shared" si="0"/>
        <v>18</v>
      </c>
      <c r="C18" s="2">
        <f t="shared" si="1"/>
        <v>2015</v>
      </c>
      <c r="D18">
        <v>167</v>
      </c>
      <c r="F18">
        <v>17</v>
      </c>
      <c r="G18">
        <v>177</v>
      </c>
      <c r="H18">
        <v>168</v>
      </c>
      <c r="I18">
        <v>155</v>
      </c>
      <c r="J18">
        <v>155</v>
      </c>
      <c r="K18">
        <v>169</v>
      </c>
      <c r="L18">
        <v>309</v>
      </c>
      <c r="M18">
        <v>185</v>
      </c>
      <c r="N18">
        <v>149</v>
      </c>
      <c r="O18">
        <v>167</v>
      </c>
      <c r="P18">
        <f t="shared" si="2"/>
        <v>181.55555555555554</v>
      </c>
    </row>
    <row r="19" spans="1:16" x14ac:dyDescent="0.25">
      <c r="A19" s="1">
        <v>42128</v>
      </c>
      <c r="B19" s="2">
        <f t="shared" si="0"/>
        <v>19</v>
      </c>
      <c r="C19" s="2">
        <f t="shared" si="1"/>
        <v>2015</v>
      </c>
      <c r="D19">
        <v>179</v>
      </c>
      <c r="F19">
        <v>18</v>
      </c>
      <c r="G19">
        <v>167</v>
      </c>
      <c r="H19">
        <v>177</v>
      </c>
      <c r="I19">
        <v>179</v>
      </c>
      <c r="J19">
        <v>157</v>
      </c>
      <c r="K19">
        <v>146</v>
      </c>
      <c r="L19">
        <v>235</v>
      </c>
      <c r="M19">
        <v>223</v>
      </c>
      <c r="N19">
        <v>169</v>
      </c>
      <c r="O19">
        <v>149</v>
      </c>
      <c r="P19">
        <f t="shared" si="2"/>
        <v>178</v>
      </c>
    </row>
    <row r="20" spans="1:16" x14ac:dyDescent="0.25">
      <c r="A20" s="1">
        <v>42135</v>
      </c>
      <c r="B20" s="2">
        <f t="shared" si="0"/>
        <v>20</v>
      </c>
      <c r="C20" s="2">
        <f t="shared" si="1"/>
        <v>2015</v>
      </c>
      <c r="D20">
        <v>147</v>
      </c>
      <c r="F20">
        <v>19</v>
      </c>
      <c r="G20">
        <v>179</v>
      </c>
      <c r="H20">
        <v>177</v>
      </c>
      <c r="I20">
        <v>176</v>
      </c>
      <c r="J20">
        <v>151</v>
      </c>
      <c r="K20">
        <v>165</v>
      </c>
      <c r="L20">
        <v>192</v>
      </c>
      <c r="M20">
        <v>150</v>
      </c>
      <c r="N20">
        <v>142</v>
      </c>
      <c r="O20">
        <v>174</v>
      </c>
      <c r="P20">
        <f t="shared" si="2"/>
        <v>167.33333333333334</v>
      </c>
    </row>
    <row r="21" spans="1:16" x14ac:dyDescent="0.25">
      <c r="A21" s="1">
        <v>42142</v>
      </c>
      <c r="B21" s="2">
        <f t="shared" si="0"/>
        <v>21</v>
      </c>
      <c r="C21" s="2">
        <f t="shared" si="1"/>
        <v>2015</v>
      </c>
      <c r="D21">
        <v>155</v>
      </c>
      <c r="F21">
        <v>20</v>
      </c>
      <c r="G21">
        <v>147</v>
      </c>
      <c r="H21">
        <v>146</v>
      </c>
      <c r="I21">
        <v>174</v>
      </c>
      <c r="J21">
        <v>153</v>
      </c>
      <c r="K21">
        <v>171</v>
      </c>
      <c r="L21">
        <v>175</v>
      </c>
      <c r="M21">
        <v>159</v>
      </c>
      <c r="N21">
        <v>161</v>
      </c>
      <c r="O21">
        <v>158</v>
      </c>
      <c r="P21">
        <f t="shared" si="2"/>
        <v>160.44444444444446</v>
      </c>
    </row>
    <row r="22" spans="1:16" x14ac:dyDescent="0.25">
      <c r="A22" s="1">
        <v>42149</v>
      </c>
      <c r="B22" s="2">
        <f t="shared" si="0"/>
        <v>22</v>
      </c>
      <c r="C22" s="2">
        <f t="shared" si="1"/>
        <v>2015</v>
      </c>
      <c r="D22">
        <v>171</v>
      </c>
      <c r="F22">
        <v>21</v>
      </c>
      <c r="G22">
        <v>155</v>
      </c>
      <c r="H22">
        <v>172</v>
      </c>
      <c r="I22">
        <v>144</v>
      </c>
      <c r="J22">
        <v>144</v>
      </c>
      <c r="K22">
        <v>158</v>
      </c>
      <c r="L22">
        <v>169</v>
      </c>
      <c r="M22">
        <v>163</v>
      </c>
      <c r="N22">
        <v>148</v>
      </c>
      <c r="O22">
        <v>134</v>
      </c>
      <c r="P22">
        <f t="shared" si="2"/>
        <v>154.11111111111111</v>
      </c>
    </row>
    <row r="23" spans="1:16" x14ac:dyDescent="0.25">
      <c r="A23" s="1">
        <v>42156</v>
      </c>
      <c r="B23" s="2">
        <f t="shared" si="0"/>
        <v>23</v>
      </c>
      <c r="C23" s="2">
        <f t="shared" si="1"/>
        <v>2015</v>
      </c>
      <c r="D23">
        <v>153</v>
      </c>
      <c r="F23">
        <v>22</v>
      </c>
      <c r="G23">
        <v>171</v>
      </c>
      <c r="H23">
        <v>151</v>
      </c>
      <c r="I23">
        <v>173</v>
      </c>
      <c r="J23">
        <v>181</v>
      </c>
      <c r="K23">
        <v>171</v>
      </c>
      <c r="L23">
        <v>148</v>
      </c>
      <c r="M23">
        <v>165</v>
      </c>
      <c r="N23">
        <v>147</v>
      </c>
      <c r="O23">
        <v>150</v>
      </c>
      <c r="P23">
        <f t="shared" si="2"/>
        <v>161.88888888888889</v>
      </c>
    </row>
    <row r="24" spans="1:16" x14ac:dyDescent="0.25">
      <c r="A24" s="1">
        <v>42163</v>
      </c>
      <c r="B24" s="2">
        <f t="shared" si="0"/>
        <v>24</v>
      </c>
      <c r="C24" s="2">
        <f t="shared" si="1"/>
        <v>2015</v>
      </c>
      <c r="D24">
        <v>170</v>
      </c>
      <c r="F24">
        <v>23</v>
      </c>
      <c r="G24">
        <v>153</v>
      </c>
      <c r="H24">
        <v>146</v>
      </c>
      <c r="I24">
        <v>131</v>
      </c>
      <c r="J24">
        <v>137</v>
      </c>
      <c r="K24">
        <v>169</v>
      </c>
      <c r="L24">
        <v>147</v>
      </c>
      <c r="M24">
        <v>149</v>
      </c>
      <c r="N24">
        <v>149</v>
      </c>
      <c r="O24">
        <v>164</v>
      </c>
      <c r="P24">
        <f t="shared" si="2"/>
        <v>149.44444444444446</v>
      </c>
    </row>
    <row r="25" spans="1:16" x14ac:dyDescent="0.25">
      <c r="A25" s="1">
        <v>42170</v>
      </c>
      <c r="B25" s="2">
        <f t="shared" si="0"/>
        <v>25</v>
      </c>
      <c r="C25" s="2">
        <f t="shared" si="1"/>
        <v>2015</v>
      </c>
      <c r="D25">
        <v>163</v>
      </c>
      <c r="F25">
        <v>24</v>
      </c>
      <c r="G25">
        <v>170</v>
      </c>
      <c r="H25">
        <v>178</v>
      </c>
      <c r="I25">
        <v>156</v>
      </c>
      <c r="J25">
        <v>140</v>
      </c>
      <c r="K25">
        <v>154</v>
      </c>
      <c r="L25">
        <v>143</v>
      </c>
      <c r="M25">
        <v>175</v>
      </c>
      <c r="N25">
        <v>168</v>
      </c>
      <c r="O25">
        <v>179</v>
      </c>
      <c r="P25">
        <f t="shared" si="2"/>
        <v>162.55555555555554</v>
      </c>
    </row>
    <row r="26" spans="1:16" x14ac:dyDescent="0.25">
      <c r="A26" s="1">
        <v>42177</v>
      </c>
      <c r="B26" s="2">
        <f t="shared" si="0"/>
        <v>26</v>
      </c>
      <c r="C26" s="2">
        <f t="shared" si="1"/>
        <v>2015</v>
      </c>
      <c r="D26">
        <v>152</v>
      </c>
      <c r="F26">
        <v>25</v>
      </c>
      <c r="G26">
        <v>163</v>
      </c>
      <c r="H26">
        <v>162</v>
      </c>
      <c r="I26">
        <v>182</v>
      </c>
      <c r="J26">
        <v>160</v>
      </c>
      <c r="K26">
        <v>153</v>
      </c>
      <c r="L26">
        <v>149</v>
      </c>
      <c r="M26">
        <v>144</v>
      </c>
      <c r="N26">
        <v>165</v>
      </c>
      <c r="O26">
        <v>120</v>
      </c>
      <c r="P26">
        <f t="shared" si="2"/>
        <v>155.33333333333334</v>
      </c>
    </row>
    <row r="27" spans="1:16" x14ac:dyDescent="0.25">
      <c r="A27" s="1">
        <v>42184</v>
      </c>
      <c r="B27" s="2">
        <f t="shared" si="0"/>
        <v>27</v>
      </c>
      <c r="C27" s="2">
        <f t="shared" si="1"/>
        <v>2015</v>
      </c>
      <c r="D27">
        <v>194</v>
      </c>
      <c r="F27">
        <v>26</v>
      </c>
      <c r="G27">
        <v>152</v>
      </c>
      <c r="H27">
        <v>155</v>
      </c>
      <c r="I27">
        <v>166</v>
      </c>
      <c r="J27">
        <v>168</v>
      </c>
      <c r="K27">
        <v>184</v>
      </c>
      <c r="L27">
        <v>161</v>
      </c>
      <c r="M27">
        <v>153</v>
      </c>
      <c r="N27">
        <v>153</v>
      </c>
      <c r="O27">
        <v>162</v>
      </c>
      <c r="P27">
        <f t="shared" si="2"/>
        <v>161.55555555555554</v>
      </c>
    </row>
    <row r="28" spans="1:16" x14ac:dyDescent="0.25">
      <c r="A28" s="1">
        <v>42191</v>
      </c>
      <c r="B28" s="2">
        <f t="shared" si="0"/>
        <v>28</v>
      </c>
      <c r="C28" s="2">
        <f t="shared" si="1"/>
        <v>2015</v>
      </c>
      <c r="D28">
        <v>184</v>
      </c>
      <c r="F28">
        <v>27</v>
      </c>
      <c r="G28">
        <v>194</v>
      </c>
      <c r="H28">
        <v>155</v>
      </c>
      <c r="I28">
        <v>180</v>
      </c>
      <c r="J28">
        <v>182</v>
      </c>
      <c r="K28">
        <v>163</v>
      </c>
      <c r="L28">
        <v>141</v>
      </c>
      <c r="M28">
        <v>134</v>
      </c>
      <c r="N28">
        <v>151</v>
      </c>
      <c r="O28">
        <v>151</v>
      </c>
      <c r="P28">
        <f t="shared" si="2"/>
        <v>161.22222222222223</v>
      </c>
    </row>
    <row r="29" spans="1:16" x14ac:dyDescent="0.25">
      <c r="A29" s="1">
        <v>42198</v>
      </c>
      <c r="B29" s="2">
        <f t="shared" si="0"/>
        <v>29</v>
      </c>
      <c r="C29" s="2">
        <f t="shared" si="1"/>
        <v>2015</v>
      </c>
      <c r="D29">
        <v>145</v>
      </c>
      <c r="F29">
        <v>28</v>
      </c>
      <c r="G29">
        <v>184</v>
      </c>
      <c r="H29">
        <v>160</v>
      </c>
      <c r="I29">
        <v>185</v>
      </c>
      <c r="J29">
        <v>157</v>
      </c>
      <c r="K29">
        <v>147</v>
      </c>
      <c r="L29">
        <v>126</v>
      </c>
      <c r="M29">
        <v>137</v>
      </c>
      <c r="N29">
        <v>140</v>
      </c>
      <c r="O29">
        <v>150</v>
      </c>
      <c r="P29">
        <f t="shared" si="2"/>
        <v>154</v>
      </c>
    </row>
    <row r="30" spans="1:16" x14ac:dyDescent="0.25">
      <c r="A30" s="1">
        <v>42205</v>
      </c>
      <c r="B30" s="2">
        <f t="shared" si="0"/>
        <v>30</v>
      </c>
      <c r="C30" s="2">
        <f t="shared" si="1"/>
        <v>2015</v>
      </c>
      <c r="D30">
        <v>145</v>
      </c>
      <c r="F30">
        <v>29</v>
      </c>
      <c r="G30">
        <v>145</v>
      </c>
      <c r="H30">
        <v>193</v>
      </c>
      <c r="I30">
        <v>159</v>
      </c>
      <c r="J30">
        <v>164</v>
      </c>
      <c r="K30">
        <v>152</v>
      </c>
      <c r="L30">
        <v>140</v>
      </c>
      <c r="M30">
        <v>155</v>
      </c>
      <c r="N30">
        <v>199</v>
      </c>
      <c r="O30">
        <v>142</v>
      </c>
      <c r="P30">
        <f t="shared" si="2"/>
        <v>161</v>
      </c>
    </row>
    <row r="31" spans="1:16" x14ac:dyDescent="0.25">
      <c r="A31" s="1">
        <v>42212</v>
      </c>
      <c r="B31" s="2">
        <f t="shared" si="0"/>
        <v>31</v>
      </c>
      <c r="C31" s="2">
        <f t="shared" si="1"/>
        <v>2015</v>
      </c>
      <c r="D31">
        <v>166</v>
      </c>
      <c r="F31">
        <v>30</v>
      </c>
      <c r="G31">
        <v>145</v>
      </c>
      <c r="H31">
        <v>166</v>
      </c>
      <c r="I31">
        <v>139</v>
      </c>
      <c r="J31">
        <v>172</v>
      </c>
      <c r="K31">
        <v>221</v>
      </c>
      <c r="L31">
        <v>159</v>
      </c>
      <c r="M31">
        <v>146</v>
      </c>
      <c r="N31">
        <v>168</v>
      </c>
      <c r="O31">
        <v>138</v>
      </c>
      <c r="P31">
        <f t="shared" si="2"/>
        <v>161.55555555555554</v>
      </c>
    </row>
    <row r="32" spans="1:16" x14ac:dyDescent="0.25">
      <c r="A32" s="1">
        <v>42219</v>
      </c>
      <c r="B32" s="2">
        <f t="shared" si="0"/>
        <v>32</v>
      </c>
      <c r="C32" s="2">
        <f t="shared" si="1"/>
        <v>2015</v>
      </c>
      <c r="D32">
        <v>192</v>
      </c>
      <c r="F32">
        <v>31</v>
      </c>
      <c r="G32">
        <v>166</v>
      </c>
      <c r="H32">
        <v>144</v>
      </c>
      <c r="I32">
        <v>158</v>
      </c>
      <c r="J32">
        <v>160</v>
      </c>
      <c r="K32">
        <v>163</v>
      </c>
      <c r="L32">
        <v>135</v>
      </c>
      <c r="M32">
        <v>159</v>
      </c>
      <c r="N32">
        <v>161</v>
      </c>
      <c r="O32">
        <v>144</v>
      </c>
      <c r="P32">
        <f t="shared" si="2"/>
        <v>154.44444444444446</v>
      </c>
    </row>
    <row r="33" spans="1:16" x14ac:dyDescent="0.25">
      <c r="A33" s="1">
        <v>42226</v>
      </c>
      <c r="B33" s="2">
        <f t="shared" si="0"/>
        <v>33</v>
      </c>
      <c r="C33" s="2">
        <f t="shared" si="1"/>
        <v>2015</v>
      </c>
      <c r="D33">
        <v>157</v>
      </c>
      <c r="F33">
        <v>32</v>
      </c>
      <c r="G33">
        <v>192</v>
      </c>
      <c r="H33">
        <v>167</v>
      </c>
      <c r="I33">
        <v>162</v>
      </c>
      <c r="J33">
        <v>195</v>
      </c>
      <c r="K33">
        <v>174</v>
      </c>
      <c r="L33">
        <v>158</v>
      </c>
      <c r="M33">
        <v>157</v>
      </c>
      <c r="N33">
        <v>177</v>
      </c>
      <c r="O33">
        <v>141</v>
      </c>
      <c r="P33">
        <f t="shared" si="2"/>
        <v>169.22222222222223</v>
      </c>
    </row>
    <row r="34" spans="1:16" x14ac:dyDescent="0.25">
      <c r="A34" s="1">
        <v>42233</v>
      </c>
      <c r="B34" s="2">
        <f t="shared" si="0"/>
        <v>34</v>
      </c>
      <c r="C34" s="2">
        <f t="shared" si="1"/>
        <v>2015</v>
      </c>
      <c r="D34">
        <v>138</v>
      </c>
      <c r="F34">
        <v>33</v>
      </c>
      <c r="G34">
        <v>157</v>
      </c>
      <c r="H34">
        <v>149</v>
      </c>
      <c r="I34">
        <v>157</v>
      </c>
      <c r="J34">
        <v>177</v>
      </c>
      <c r="K34">
        <v>139</v>
      </c>
      <c r="L34">
        <v>251</v>
      </c>
      <c r="M34">
        <v>151</v>
      </c>
      <c r="N34">
        <v>149</v>
      </c>
      <c r="O34">
        <v>147</v>
      </c>
      <c r="P34">
        <f t="shared" si="2"/>
        <v>164.11111111111111</v>
      </c>
    </row>
    <row r="35" spans="1:16" x14ac:dyDescent="0.25">
      <c r="A35" s="1">
        <v>42240</v>
      </c>
      <c r="B35" s="2">
        <f t="shared" si="0"/>
        <v>35</v>
      </c>
      <c r="C35" s="2">
        <f t="shared" si="1"/>
        <v>2015</v>
      </c>
      <c r="D35">
        <v>173</v>
      </c>
      <c r="F35">
        <v>34</v>
      </c>
      <c r="G35">
        <v>138</v>
      </c>
      <c r="H35">
        <v>178</v>
      </c>
      <c r="I35">
        <v>187</v>
      </c>
      <c r="J35">
        <v>144</v>
      </c>
      <c r="K35">
        <v>159</v>
      </c>
      <c r="L35">
        <v>205</v>
      </c>
      <c r="M35">
        <v>153</v>
      </c>
      <c r="N35">
        <v>164</v>
      </c>
      <c r="O35">
        <v>162</v>
      </c>
      <c r="P35">
        <f t="shared" si="2"/>
        <v>165.55555555555554</v>
      </c>
    </row>
    <row r="36" spans="1:16" x14ac:dyDescent="0.25">
      <c r="A36" s="1">
        <v>42247</v>
      </c>
      <c r="B36" s="2">
        <f t="shared" si="0"/>
        <v>36</v>
      </c>
      <c r="C36" s="2">
        <f t="shared" si="1"/>
        <v>2015</v>
      </c>
      <c r="D36">
        <v>161</v>
      </c>
      <c r="F36">
        <v>35</v>
      </c>
      <c r="G36">
        <v>173</v>
      </c>
      <c r="H36">
        <v>155</v>
      </c>
      <c r="I36">
        <v>157</v>
      </c>
      <c r="J36">
        <v>140</v>
      </c>
      <c r="K36">
        <v>165</v>
      </c>
      <c r="L36">
        <v>126</v>
      </c>
      <c r="M36">
        <v>149</v>
      </c>
      <c r="N36">
        <v>138</v>
      </c>
      <c r="O36">
        <v>157</v>
      </c>
      <c r="P36">
        <f t="shared" si="2"/>
        <v>151.11111111111111</v>
      </c>
    </row>
    <row r="37" spans="1:16" x14ac:dyDescent="0.25">
      <c r="A37" s="1">
        <v>42254</v>
      </c>
      <c r="B37" s="2">
        <f t="shared" si="0"/>
        <v>37</v>
      </c>
      <c r="C37" s="2">
        <f t="shared" si="1"/>
        <v>2015</v>
      </c>
      <c r="D37">
        <v>149</v>
      </c>
      <c r="F37">
        <v>36</v>
      </c>
      <c r="G37">
        <v>161</v>
      </c>
      <c r="H37">
        <v>156</v>
      </c>
      <c r="I37">
        <v>175</v>
      </c>
      <c r="J37">
        <v>171</v>
      </c>
      <c r="K37">
        <v>170</v>
      </c>
      <c r="L37">
        <v>155</v>
      </c>
      <c r="M37">
        <v>163</v>
      </c>
      <c r="N37">
        <v>170</v>
      </c>
      <c r="O37">
        <v>153</v>
      </c>
      <c r="P37">
        <f t="shared" si="2"/>
        <v>163.77777777777777</v>
      </c>
    </row>
    <row r="38" spans="1:16" x14ac:dyDescent="0.25">
      <c r="A38" s="1">
        <v>42261</v>
      </c>
      <c r="B38" s="2">
        <f t="shared" si="0"/>
        <v>38</v>
      </c>
      <c r="C38" s="2">
        <f t="shared" si="1"/>
        <v>2015</v>
      </c>
      <c r="D38">
        <v>155</v>
      </c>
      <c r="F38">
        <v>37</v>
      </c>
      <c r="G38">
        <v>149</v>
      </c>
      <c r="H38">
        <v>166</v>
      </c>
      <c r="I38">
        <v>143</v>
      </c>
      <c r="J38">
        <v>142</v>
      </c>
      <c r="K38">
        <v>166</v>
      </c>
      <c r="L38">
        <v>142</v>
      </c>
      <c r="M38">
        <v>157</v>
      </c>
      <c r="N38">
        <v>143</v>
      </c>
      <c r="O38">
        <v>158</v>
      </c>
      <c r="P38">
        <f t="shared" si="2"/>
        <v>151.77777777777777</v>
      </c>
    </row>
    <row r="39" spans="1:16" x14ac:dyDescent="0.25">
      <c r="A39" s="1">
        <v>42268</v>
      </c>
      <c r="B39" s="2">
        <f t="shared" si="0"/>
        <v>39</v>
      </c>
      <c r="C39" s="2">
        <f t="shared" si="1"/>
        <v>2015</v>
      </c>
      <c r="D39">
        <v>160</v>
      </c>
      <c r="F39">
        <v>38</v>
      </c>
      <c r="G39">
        <v>155</v>
      </c>
      <c r="H39">
        <v>133</v>
      </c>
      <c r="I39">
        <v>166</v>
      </c>
      <c r="J39">
        <v>161</v>
      </c>
      <c r="K39">
        <v>156</v>
      </c>
      <c r="L39">
        <v>150</v>
      </c>
      <c r="M39">
        <v>150</v>
      </c>
      <c r="N39">
        <v>135</v>
      </c>
      <c r="O39">
        <v>147</v>
      </c>
      <c r="P39">
        <f t="shared" si="2"/>
        <v>150.33333333333334</v>
      </c>
    </row>
    <row r="40" spans="1:16" x14ac:dyDescent="0.25">
      <c r="A40" s="1">
        <v>42275</v>
      </c>
      <c r="B40" s="2">
        <f t="shared" si="0"/>
        <v>40</v>
      </c>
      <c r="C40" s="2">
        <f t="shared" si="1"/>
        <v>2015</v>
      </c>
      <c r="D40">
        <v>176</v>
      </c>
      <c r="F40">
        <v>39</v>
      </c>
      <c r="G40">
        <v>160</v>
      </c>
      <c r="H40">
        <v>165</v>
      </c>
      <c r="I40">
        <v>170</v>
      </c>
      <c r="J40">
        <v>146</v>
      </c>
      <c r="K40">
        <v>148</v>
      </c>
      <c r="L40">
        <v>155</v>
      </c>
      <c r="M40">
        <v>165</v>
      </c>
      <c r="N40">
        <v>150</v>
      </c>
      <c r="O40">
        <v>165</v>
      </c>
      <c r="P40">
        <f t="shared" si="2"/>
        <v>158.22222222222223</v>
      </c>
    </row>
    <row r="41" spans="1:16" x14ac:dyDescent="0.25">
      <c r="A41" s="1">
        <v>42282</v>
      </c>
      <c r="B41" s="2">
        <f t="shared" si="0"/>
        <v>41</v>
      </c>
      <c r="C41" s="2">
        <f t="shared" si="1"/>
        <v>2015</v>
      </c>
      <c r="D41">
        <v>182</v>
      </c>
      <c r="F41">
        <v>40</v>
      </c>
      <c r="G41">
        <v>176</v>
      </c>
      <c r="H41">
        <v>155</v>
      </c>
      <c r="I41">
        <v>141</v>
      </c>
      <c r="J41">
        <v>143</v>
      </c>
      <c r="K41">
        <v>186</v>
      </c>
      <c r="L41">
        <v>160</v>
      </c>
      <c r="M41">
        <v>171</v>
      </c>
      <c r="N41">
        <v>180</v>
      </c>
      <c r="O41">
        <v>175</v>
      </c>
      <c r="P41">
        <f t="shared" si="2"/>
        <v>165.22222222222223</v>
      </c>
    </row>
    <row r="42" spans="1:16" x14ac:dyDescent="0.25">
      <c r="A42" s="1">
        <v>42289</v>
      </c>
      <c r="B42" s="2">
        <f t="shared" si="0"/>
        <v>42</v>
      </c>
      <c r="C42" s="2">
        <f t="shared" si="1"/>
        <v>2015</v>
      </c>
      <c r="D42">
        <v>166</v>
      </c>
      <c r="F42">
        <v>41</v>
      </c>
      <c r="G42">
        <v>182</v>
      </c>
      <c r="H42">
        <v>170</v>
      </c>
      <c r="I42">
        <v>176</v>
      </c>
      <c r="J42">
        <v>174</v>
      </c>
      <c r="K42">
        <v>141</v>
      </c>
      <c r="L42">
        <v>184</v>
      </c>
      <c r="M42">
        <v>180</v>
      </c>
      <c r="N42">
        <v>151</v>
      </c>
      <c r="O42">
        <v>155</v>
      </c>
      <c r="P42">
        <f t="shared" si="2"/>
        <v>168.11111111111111</v>
      </c>
    </row>
    <row r="43" spans="1:16" x14ac:dyDescent="0.25">
      <c r="A43" s="1">
        <v>42296</v>
      </c>
      <c r="B43" s="2">
        <f t="shared" si="0"/>
        <v>43</v>
      </c>
      <c r="C43" s="2">
        <f t="shared" si="1"/>
        <v>2015</v>
      </c>
      <c r="D43">
        <v>178</v>
      </c>
      <c r="F43">
        <v>42</v>
      </c>
      <c r="G43">
        <v>166</v>
      </c>
      <c r="H43">
        <v>181</v>
      </c>
      <c r="I43">
        <v>179</v>
      </c>
      <c r="J43">
        <v>167</v>
      </c>
      <c r="K43">
        <v>152</v>
      </c>
      <c r="L43">
        <v>178</v>
      </c>
      <c r="M43">
        <v>183</v>
      </c>
      <c r="N43">
        <v>170</v>
      </c>
      <c r="O43">
        <v>175</v>
      </c>
      <c r="P43">
        <f t="shared" si="2"/>
        <v>172.33333333333334</v>
      </c>
    </row>
    <row r="44" spans="1:16" x14ac:dyDescent="0.25">
      <c r="A44" s="1">
        <v>42303</v>
      </c>
      <c r="B44" s="2">
        <f t="shared" si="0"/>
        <v>44</v>
      </c>
      <c r="C44" s="2">
        <f t="shared" si="1"/>
        <v>2015</v>
      </c>
      <c r="D44">
        <v>165</v>
      </c>
      <c r="F44">
        <v>43</v>
      </c>
      <c r="G44">
        <v>178</v>
      </c>
      <c r="H44">
        <v>165</v>
      </c>
      <c r="I44">
        <v>165</v>
      </c>
      <c r="J44">
        <v>157</v>
      </c>
      <c r="K44">
        <v>182</v>
      </c>
      <c r="L44">
        <v>250</v>
      </c>
      <c r="M44">
        <v>195</v>
      </c>
      <c r="N44">
        <v>186</v>
      </c>
      <c r="O44">
        <v>176</v>
      </c>
      <c r="P44">
        <f t="shared" si="2"/>
        <v>183.77777777777777</v>
      </c>
    </row>
    <row r="45" spans="1:16" x14ac:dyDescent="0.25">
      <c r="A45" s="1">
        <v>42310</v>
      </c>
      <c r="B45" s="2">
        <f t="shared" si="0"/>
        <v>45</v>
      </c>
      <c r="C45" s="2">
        <f t="shared" si="1"/>
        <v>2015</v>
      </c>
      <c r="D45">
        <v>163</v>
      </c>
      <c r="F45">
        <v>44</v>
      </c>
      <c r="G45">
        <v>165</v>
      </c>
      <c r="H45">
        <v>165</v>
      </c>
      <c r="I45">
        <v>190</v>
      </c>
      <c r="J45">
        <v>149</v>
      </c>
      <c r="K45">
        <v>167</v>
      </c>
      <c r="L45">
        <v>316</v>
      </c>
      <c r="M45">
        <v>174</v>
      </c>
      <c r="N45">
        <v>166</v>
      </c>
      <c r="O45">
        <v>159</v>
      </c>
      <c r="P45">
        <f t="shared" si="2"/>
        <v>183.44444444444446</v>
      </c>
    </row>
    <row r="46" spans="1:16" x14ac:dyDescent="0.25">
      <c r="A46" s="1">
        <v>42317</v>
      </c>
      <c r="B46" s="2">
        <f t="shared" si="0"/>
        <v>46</v>
      </c>
      <c r="C46" s="2">
        <f t="shared" si="1"/>
        <v>2015</v>
      </c>
      <c r="D46">
        <v>171</v>
      </c>
      <c r="F46">
        <v>45</v>
      </c>
      <c r="G46">
        <v>163</v>
      </c>
      <c r="H46">
        <v>193</v>
      </c>
      <c r="I46">
        <v>170</v>
      </c>
      <c r="J46">
        <v>161</v>
      </c>
      <c r="K46">
        <v>164</v>
      </c>
      <c r="L46">
        <v>326</v>
      </c>
      <c r="M46">
        <v>187</v>
      </c>
      <c r="N46">
        <v>165</v>
      </c>
      <c r="O46">
        <v>170</v>
      </c>
      <c r="P46">
        <f t="shared" si="2"/>
        <v>188.77777777777777</v>
      </c>
    </row>
    <row r="47" spans="1:16" x14ac:dyDescent="0.25">
      <c r="A47" s="1">
        <v>42324</v>
      </c>
      <c r="B47" s="2">
        <f t="shared" si="0"/>
        <v>47</v>
      </c>
      <c r="C47" s="2">
        <f t="shared" si="1"/>
        <v>2015</v>
      </c>
      <c r="D47">
        <v>194</v>
      </c>
      <c r="F47">
        <v>46</v>
      </c>
      <c r="G47">
        <v>171</v>
      </c>
      <c r="H47">
        <v>190</v>
      </c>
      <c r="I47">
        <v>162</v>
      </c>
      <c r="J47">
        <v>176</v>
      </c>
      <c r="K47">
        <v>150</v>
      </c>
      <c r="L47">
        <v>294</v>
      </c>
      <c r="M47">
        <v>197</v>
      </c>
      <c r="N47">
        <v>144</v>
      </c>
      <c r="O47">
        <v>185</v>
      </c>
      <c r="P47">
        <f t="shared" si="2"/>
        <v>185.44444444444446</v>
      </c>
    </row>
    <row r="48" spans="1:16" x14ac:dyDescent="0.25">
      <c r="A48" s="1">
        <v>42331</v>
      </c>
      <c r="B48" s="2">
        <f t="shared" si="0"/>
        <v>48</v>
      </c>
      <c r="C48" s="2">
        <f t="shared" si="1"/>
        <v>2015</v>
      </c>
      <c r="D48">
        <v>176</v>
      </c>
      <c r="F48">
        <v>47</v>
      </c>
      <c r="G48">
        <v>194</v>
      </c>
      <c r="H48">
        <v>186</v>
      </c>
      <c r="I48">
        <v>175</v>
      </c>
      <c r="J48">
        <v>153</v>
      </c>
      <c r="K48">
        <v>179</v>
      </c>
      <c r="L48">
        <v>276</v>
      </c>
      <c r="M48">
        <v>181</v>
      </c>
      <c r="N48">
        <v>185</v>
      </c>
      <c r="O48">
        <v>150</v>
      </c>
      <c r="P48">
        <f t="shared" si="2"/>
        <v>186.55555555555554</v>
      </c>
    </row>
    <row r="49" spans="1:16" x14ac:dyDescent="0.25">
      <c r="A49" s="1">
        <v>42338</v>
      </c>
      <c r="B49" s="2">
        <f t="shared" si="0"/>
        <v>49</v>
      </c>
      <c r="C49" s="2">
        <f t="shared" si="1"/>
        <v>2015</v>
      </c>
      <c r="D49">
        <v>147</v>
      </c>
      <c r="F49">
        <v>48</v>
      </c>
      <c r="G49">
        <v>176</v>
      </c>
      <c r="H49">
        <v>192</v>
      </c>
      <c r="I49">
        <v>149</v>
      </c>
      <c r="J49">
        <v>186</v>
      </c>
      <c r="K49">
        <v>152</v>
      </c>
      <c r="L49">
        <v>262</v>
      </c>
      <c r="M49">
        <v>190</v>
      </c>
      <c r="N49">
        <v>170</v>
      </c>
      <c r="O49">
        <v>186</v>
      </c>
      <c r="P49">
        <f t="shared" si="2"/>
        <v>184.77777777777777</v>
      </c>
    </row>
    <row r="50" spans="1:16" x14ac:dyDescent="0.25">
      <c r="A50" s="1">
        <v>42345</v>
      </c>
      <c r="B50" s="2">
        <f t="shared" si="0"/>
        <v>50</v>
      </c>
      <c r="C50" s="2">
        <f t="shared" si="1"/>
        <v>2015</v>
      </c>
      <c r="D50">
        <v>176</v>
      </c>
      <c r="F50">
        <v>49</v>
      </c>
      <c r="G50">
        <v>147</v>
      </c>
      <c r="H50">
        <v>178</v>
      </c>
      <c r="I50">
        <v>186</v>
      </c>
      <c r="J50">
        <v>190</v>
      </c>
      <c r="K50">
        <v>150</v>
      </c>
      <c r="L50">
        <v>188</v>
      </c>
      <c r="M50">
        <v>182</v>
      </c>
      <c r="N50">
        <v>154</v>
      </c>
      <c r="O50">
        <v>209</v>
      </c>
      <c r="P50">
        <f t="shared" si="2"/>
        <v>176</v>
      </c>
    </row>
    <row r="51" spans="1:16" x14ac:dyDescent="0.25">
      <c r="A51" s="1">
        <v>42352</v>
      </c>
      <c r="B51" s="2">
        <f t="shared" si="0"/>
        <v>51</v>
      </c>
      <c r="C51" s="2">
        <f t="shared" si="1"/>
        <v>2015</v>
      </c>
      <c r="D51">
        <v>156</v>
      </c>
      <c r="F51">
        <v>50</v>
      </c>
      <c r="G51">
        <v>176</v>
      </c>
      <c r="H51">
        <v>194</v>
      </c>
      <c r="I51">
        <v>186</v>
      </c>
      <c r="J51">
        <v>196</v>
      </c>
      <c r="K51">
        <v>176</v>
      </c>
      <c r="L51">
        <v>225</v>
      </c>
      <c r="M51">
        <v>189</v>
      </c>
      <c r="N51">
        <v>212</v>
      </c>
      <c r="O51">
        <v>199</v>
      </c>
      <c r="P51">
        <f t="shared" si="2"/>
        <v>194.77777777777777</v>
      </c>
    </row>
    <row r="52" spans="1:16" x14ac:dyDescent="0.25">
      <c r="A52" s="1">
        <v>42359</v>
      </c>
      <c r="B52" s="2">
        <f t="shared" si="0"/>
        <v>52</v>
      </c>
      <c r="C52" s="2">
        <f t="shared" si="1"/>
        <v>2015</v>
      </c>
      <c r="D52">
        <v>151</v>
      </c>
      <c r="F52">
        <v>51</v>
      </c>
      <c r="G52">
        <v>156</v>
      </c>
      <c r="H52">
        <v>158</v>
      </c>
      <c r="I52">
        <v>179</v>
      </c>
      <c r="J52">
        <v>175</v>
      </c>
      <c r="K52">
        <v>189</v>
      </c>
      <c r="L52">
        <v>202</v>
      </c>
      <c r="M52">
        <v>199</v>
      </c>
      <c r="N52">
        <v>234</v>
      </c>
      <c r="O52">
        <v>202</v>
      </c>
      <c r="P52">
        <f t="shared" si="2"/>
        <v>188.22222222222223</v>
      </c>
    </row>
    <row r="53" spans="1:16" x14ac:dyDescent="0.25">
      <c r="A53" s="1">
        <v>42366</v>
      </c>
      <c r="B53" s="2">
        <f t="shared" si="0"/>
        <v>53</v>
      </c>
      <c r="C53" s="2">
        <f t="shared" si="1"/>
        <v>2015</v>
      </c>
      <c r="D53">
        <v>163</v>
      </c>
      <c r="F53">
        <v>52</v>
      </c>
      <c r="G53">
        <v>151</v>
      </c>
      <c r="H53">
        <v>221</v>
      </c>
      <c r="I53">
        <v>178</v>
      </c>
      <c r="J53">
        <v>161</v>
      </c>
      <c r="K53">
        <v>166</v>
      </c>
      <c r="L53">
        <v>190</v>
      </c>
      <c r="M53">
        <v>203</v>
      </c>
      <c r="N53">
        <v>217</v>
      </c>
      <c r="O53">
        <v>198</v>
      </c>
      <c r="P53">
        <f t="shared" si="2"/>
        <v>187.22222222222223</v>
      </c>
    </row>
    <row r="54" spans="1:16" x14ac:dyDescent="0.25">
      <c r="A54" s="1">
        <v>42373</v>
      </c>
      <c r="B54" s="2">
        <f t="shared" si="0"/>
        <v>1</v>
      </c>
      <c r="C54" s="2">
        <f t="shared" si="1"/>
        <v>2016</v>
      </c>
      <c r="D54">
        <v>171</v>
      </c>
      <c r="F54">
        <v>53</v>
      </c>
      <c r="G54">
        <v>163</v>
      </c>
      <c r="K54">
        <v>180</v>
      </c>
      <c r="L54">
        <v>188</v>
      </c>
      <c r="P54">
        <f t="shared" si="2"/>
        <v>177</v>
      </c>
    </row>
    <row r="55" spans="1:16" x14ac:dyDescent="0.25">
      <c r="A55" s="1">
        <v>42380</v>
      </c>
      <c r="B55" s="2">
        <f t="shared" si="0"/>
        <v>2</v>
      </c>
      <c r="C55" s="2">
        <f t="shared" si="1"/>
        <v>2016</v>
      </c>
      <c r="D55">
        <v>191</v>
      </c>
    </row>
    <row r="56" spans="1:16" x14ac:dyDescent="0.25">
      <c r="A56" s="1">
        <v>42387</v>
      </c>
      <c r="B56" s="2">
        <f t="shared" si="0"/>
        <v>3</v>
      </c>
      <c r="C56" s="2">
        <f t="shared" si="1"/>
        <v>2016</v>
      </c>
      <c r="D56">
        <v>182</v>
      </c>
    </row>
    <row r="57" spans="1:16" x14ac:dyDescent="0.25">
      <c r="A57" s="1">
        <v>42394</v>
      </c>
      <c r="B57" s="2">
        <f t="shared" si="0"/>
        <v>4</v>
      </c>
      <c r="C57" s="2">
        <f t="shared" si="1"/>
        <v>2016</v>
      </c>
      <c r="D57">
        <v>195</v>
      </c>
    </row>
    <row r="58" spans="1:16" x14ac:dyDescent="0.25">
      <c r="A58" s="1">
        <v>42401</v>
      </c>
      <c r="B58" s="2">
        <f t="shared" si="0"/>
        <v>5</v>
      </c>
      <c r="C58" s="2">
        <f t="shared" si="1"/>
        <v>2016</v>
      </c>
      <c r="D58">
        <v>192</v>
      </c>
    </row>
    <row r="59" spans="1:16" x14ac:dyDescent="0.25">
      <c r="A59" s="1">
        <v>42408</v>
      </c>
      <c r="B59" s="2">
        <f t="shared" si="0"/>
        <v>6</v>
      </c>
      <c r="C59" s="2">
        <f t="shared" si="1"/>
        <v>2016</v>
      </c>
      <c r="D59">
        <v>167</v>
      </c>
    </row>
    <row r="60" spans="1:16" x14ac:dyDescent="0.25">
      <c r="A60" s="1">
        <v>42415</v>
      </c>
      <c r="B60" s="2">
        <f t="shared" si="0"/>
        <v>7</v>
      </c>
      <c r="C60" s="2">
        <f t="shared" si="1"/>
        <v>2016</v>
      </c>
      <c r="D60">
        <v>166</v>
      </c>
    </row>
    <row r="61" spans="1:16" x14ac:dyDescent="0.25">
      <c r="A61" s="1">
        <v>42422</v>
      </c>
      <c r="B61" s="2">
        <f t="shared" si="0"/>
        <v>8</v>
      </c>
      <c r="C61" s="2">
        <f t="shared" si="1"/>
        <v>2016</v>
      </c>
      <c r="D61">
        <v>192</v>
      </c>
    </row>
    <row r="62" spans="1:16" x14ac:dyDescent="0.25">
      <c r="A62" s="1">
        <v>42429</v>
      </c>
      <c r="B62" s="2">
        <f t="shared" si="0"/>
        <v>9</v>
      </c>
      <c r="C62" s="2">
        <f t="shared" si="1"/>
        <v>2016</v>
      </c>
      <c r="D62">
        <v>186</v>
      </c>
    </row>
    <row r="63" spans="1:16" x14ac:dyDescent="0.25">
      <c r="A63" s="1">
        <v>42436</v>
      </c>
      <c r="B63" s="2">
        <f t="shared" si="0"/>
        <v>10</v>
      </c>
      <c r="C63" s="2">
        <f t="shared" si="1"/>
        <v>2016</v>
      </c>
      <c r="D63">
        <v>194</v>
      </c>
    </row>
    <row r="64" spans="1:16" x14ac:dyDescent="0.25">
      <c r="A64" s="1">
        <v>42443</v>
      </c>
      <c r="B64" s="2">
        <f t="shared" si="0"/>
        <v>11</v>
      </c>
      <c r="C64" s="2">
        <f t="shared" si="1"/>
        <v>2016</v>
      </c>
      <c r="D64">
        <v>193</v>
      </c>
    </row>
    <row r="65" spans="1:4" x14ac:dyDescent="0.25">
      <c r="A65" s="1">
        <v>42450</v>
      </c>
      <c r="B65" s="2">
        <f t="shared" si="0"/>
        <v>12</v>
      </c>
      <c r="C65" s="2">
        <f t="shared" si="1"/>
        <v>2016</v>
      </c>
      <c r="D65">
        <v>232</v>
      </c>
    </row>
    <row r="66" spans="1:4" x14ac:dyDescent="0.25">
      <c r="A66" s="1">
        <v>42457</v>
      </c>
      <c r="B66" s="2">
        <f t="shared" si="0"/>
        <v>13</v>
      </c>
      <c r="C66" s="2">
        <f t="shared" si="1"/>
        <v>2016</v>
      </c>
      <c r="D66">
        <v>179</v>
      </c>
    </row>
    <row r="67" spans="1:4" x14ac:dyDescent="0.25">
      <c r="A67" s="1">
        <v>42464</v>
      </c>
      <c r="B67" s="2">
        <f t="shared" ref="B67:B130" si="3">_xlfn.ISOWEEKNUM(A67)</f>
        <v>14</v>
      </c>
      <c r="C67" s="2">
        <f t="shared" ref="C67:C130" si="4">YEAR(A67)</f>
        <v>2016</v>
      </c>
      <c r="D67">
        <v>157</v>
      </c>
    </row>
    <row r="68" spans="1:4" x14ac:dyDescent="0.25">
      <c r="A68" s="1">
        <v>42471</v>
      </c>
      <c r="B68" s="2">
        <f t="shared" si="3"/>
        <v>15</v>
      </c>
      <c r="C68" s="2">
        <f t="shared" si="4"/>
        <v>2016</v>
      </c>
      <c r="D68">
        <v>178</v>
      </c>
    </row>
    <row r="69" spans="1:4" x14ac:dyDescent="0.25">
      <c r="A69" s="1">
        <v>42478</v>
      </c>
      <c r="B69" s="2">
        <f t="shared" si="3"/>
        <v>16</v>
      </c>
      <c r="C69" s="2">
        <f t="shared" si="4"/>
        <v>2016</v>
      </c>
      <c r="D69">
        <v>179</v>
      </c>
    </row>
    <row r="70" spans="1:4" x14ac:dyDescent="0.25">
      <c r="A70" s="1">
        <v>42485</v>
      </c>
      <c r="B70" s="2">
        <f t="shared" si="3"/>
        <v>17</v>
      </c>
      <c r="C70" s="2">
        <f t="shared" si="4"/>
        <v>2016</v>
      </c>
      <c r="D70">
        <v>168</v>
      </c>
    </row>
    <row r="71" spans="1:4" x14ac:dyDescent="0.25">
      <c r="A71" s="1">
        <v>42492</v>
      </c>
      <c r="B71" s="2">
        <f t="shared" si="3"/>
        <v>18</v>
      </c>
      <c r="C71" s="2">
        <f t="shared" si="4"/>
        <v>2016</v>
      </c>
      <c r="D71">
        <v>177</v>
      </c>
    </row>
    <row r="72" spans="1:4" x14ac:dyDescent="0.25">
      <c r="A72" s="1">
        <v>42499</v>
      </c>
      <c r="B72" s="2">
        <f t="shared" si="3"/>
        <v>19</v>
      </c>
      <c r="C72" s="2">
        <f t="shared" si="4"/>
        <v>2016</v>
      </c>
      <c r="D72">
        <v>177</v>
      </c>
    </row>
    <row r="73" spans="1:4" x14ac:dyDescent="0.25">
      <c r="A73" s="1">
        <v>42506</v>
      </c>
      <c r="B73" s="2">
        <f t="shared" si="3"/>
        <v>20</v>
      </c>
      <c r="C73" s="2">
        <f t="shared" si="4"/>
        <v>2016</v>
      </c>
      <c r="D73">
        <v>146</v>
      </c>
    </row>
    <row r="74" spans="1:4" x14ac:dyDescent="0.25">
      <c r="A74" s="1">
        <v>42513</v>
      </c>
      <c r="B74" s="2">
        <f t="shared" si="3"/>
        <v>21</v>
      </c>
      <c r="C74" s="2">
        <f t="shared" si="4"/>
        <v>2016</v>
      </c>
      <c r="D74">
        <v>172</v>
      </c>
    </row>
    <row r="75" spans="1:4" x14ac:dyDescent="0.25">
      <c r="A75" s="1">
        <v>42520</v>
      </c>
      <c r="B75" s="2">
        <f t="shared" si="3"/>
        <v>22</v>
      </c>
      <c r="C75" s="2">
        <f t="shared" si="4"/>
        <v>2016</v>
      </c>
      <c r="D75">
        <v>151</v>
      </c>
    </row>
    <row r="76" spans="1:4" x14ac:dyDescent="0.25">
      <c r="A76" s="1">
        <v>42527</v>
      </c>
      <c r="B76" s="2">
        <f t="shared" si="3"/>
        <v>23</v>
      </c>
      <c r="C76" s="2">
        <f t="shared" si="4"/>
        <v>2016</v>
      </c>
      <c r="D76">
        <v>146</v>
      </c>
    </row>
    <row r="77" spans="1:4" x14ac:dyDescent="0.25">
      <c r="A77" s="1">
        <v>42534</v>
      </c>
      <c r="B77" s="2">
        <f t="shared" si="3"/>
        <v>24</v>
      </c>
      <c r="C77" s="2">
        <f t="shared" si="4"/>
        <v>2016</v>
      </c>
      <c r="D77">
        <v>178</v>
      </c>
    </row>
    <row r="78" spans="1:4" x14ac:dyDescent="0.25">
      <c r="A78" s="1">
        <v>42541</v>
      </c>
      <c r="B78" s="2">
        <f t="shared" si="3"/>
        <v>25</v>
      </c>
      <c r="C78" s="2">
        <f t="shared" si="4"/>
        <v>2016</v>
      </c>
      <c r="D78">
        <v>162</v>
      </c>
    </row>
    <row r="79" spans="1:4" x14ac:dyDescent="0.25">
      <c r="A79" s="1">
        <v>42548</v>
      </c>
      <c r="B79" s="2">
        <f t="shared" si="3"/>
        <v>26</v>
      </c>
      <c r="C79" s="2">
        <f t="shared" si="4"/>
        <v>2016</v>
      </c>
      <c r="D79">
        <v>155</v>
      </c>
    </row>
    <row r="80" spans="1:4" x14ac:dyDescent="0.25">
      <c r="A80" s="1">
        <v>42555</v>
      </c>
      <c r="B80" s="2">
        <f t="shared" si="3"/>
        <v>27</v>
      </c>
      <c r="C80" s="2">
        <f t="shared" si="4"/>
        <v>2016</v>
      </c>
      <c r="D80">
        <v>155</v>
      </c>
    </row>
    <row r="81" spans="1:4" x14ac:dyDescent="0.25">
      <c r="A81" s="1">
        <v>42562</v>
      </c>
      <c r="B81" s="2">
        <f t="shared" si="3"/>
        <v>28</v>
      </c>
      <c r="C81" s="2">
        <f t="shared" si="4"/>
        <v>2016</v>
      </c>
      <c r="D81">
        <v>160</v>
      </c>
    </row>
    <row r="82" spans="1:4" x14ac:dyDescent="0.25">
      <c r="A82" s="1">
        <v>42569</v>
      </c>
      <c r="B82" s="2">
        <f t="shared" si="3"/>
        <v>29</v>
      </c>
      <c r="C82" s="2">
        <f t="shared" si="4"/>
        <v>2016</v>
      </c>
      <c r="D82">
        <v>193</v>
      </c>
    </row>
    <row r="83" spans="1:4" x14ac:dyDescent="0.25">
      <c r="A83" s="1">
        <v>42576</v>
      </c>
      <c r="B83" s="2">
        <f t="shared" si="3"/>
        <v>30</v>
      </c>
      <c r="C83" s="2">
        <f t="shared" si="4"/>
        <v>2016</v>
      </c>
      <c r="D83">
        <v>166</v>
      </c>
    </row>
    <row r="84" spans="1:4" x14ac:dyDescent="0.25">
      <c r="A84" s="1">
        <v>42583</v>
      </c>
      <c r="B84" s="2">
        <f t="shared" si="3"/>
        <v>31</v>
      </c>
      <c r="C84" s="2">
        <f t="shared" si="4"/>
        <v>2016</v>
      </c>
      <c r="D84">
        <v>144</v>
      </c>
    </row>
    <row r="85" spans="1:4" x14ac:dyDescent="0.25">
      <c r="A85" s="1">
        <v>42590</v>
      </c>
      <c r="B85" s="2">
        <f t="shared" si="3"/>
        <v>32</v>
      </c>
      <c r="C85" s="2">
        <f t="shared" si="4"/>
        <v>2016</v>
      </c>
      <c r="D85">
        <v>167</v>
      </c>
    </row>
    <row r="86" spans="1:4" x14ac:dyDescent="0.25">
      <c r="A86" s="1">
        <v>42597</v>
      </c>
      <c r="B86" s="2">
        <f t="shared" si="3"/>
        <v>33</v>
      </c>
      <c r="C86" s="2">
        <f t="shared" si="4"/>
        <v>2016</v>
      </c>
      <c r="D86">
        <v>149</v>
      </c>
    </row>
    <row r="87" spans="1:4" x14ac:dyDescent="0.25">
      <c r="A87" s="1">
        <v>42604</v>
      </c>
      <c r="B87" s="2">
        <f t="shared" si="3"/>
        <v>34</v>
      </c>
      <c r="C87" s="2">
        <f t="shared" si="4"/>
        <v>2016</v>
      </c>
      <c r="D87">
        <v>178</v>
      </c>
    </row>
    <row r="88" spans="1:4" x14ac:dyDescent="0.25">
      <c r="A88" s="1">
        <v>42611</v>
      </c>
      <c r="B88" s="2">
        <f t="shared" si="3"/>
        <v>35</v>
      </c>
      <c r="C88" s="2">
        <f t="shared" si="4"/>
        <v>2016</v>
      </c>
      <c r="D88">
        <v>155</v>
      </c>
    </row>
    <row r="89" spans="1:4" x14ac:dyDescent="0.25">
      <c r="A89" s="1">
        <v>42618</v>
      </c>
      <c r="B89" s="2">
        <f t="shared" si="3"/>
        <v>36</v>
      </c>
      <c r="C89" s="2">
        <f t="shared" si="4"/>
        <v>2016</v>
      </c>
      <c r="D89">
        <v>156</v>
      </c>
    </row>
    <row r="90" spans="1:4" x14ac:dyDescent="0.25">
      <c r="A90" s="1">
        <v>42625</v>
      </c>
      <c r="B90" s="2">
        <f t="shared" si="3"/>
        <v>37</v>
      </c>
      <c r="C90" s="2">
        <f t="shared" si="4"/>
        <v>2016</v>
      </c>
      <c r="D90">
        <v>166</v>
      </c>
    </row>
    <row r="91" spans="1:4" x14ac:dyDescent="0.25">
      <c r="A91" s="1">
        <v>42632</v>
      </c>
      <c r="B91" s="2">
        <f t="shared" si="3"/>
        <v>38</v>
      </c>
      <c r="C91" s="2">
        <f t="shared" si="4"/>
        <v>2016</v>
      </c>
      <c r="D91">
        <v>133</v>
      </c>
    </row>
    <row r="92" spans="1:4" x14ac:dyDescent="0.25">
      <c r="A92" s="1">
        <v>42639</v>
      </c>
      <c r="B92" s="2">
        <f t="shared" si="3"/>
        <v>39</v>
      </c>
      <c r="C92" s="2">
        <f t="shared" si="4"/>
        <v>2016</v>
      </c>
      <c r="D92">
        <v>165</v>
      </c>
    </row>
    <row r="93" spans="1:4" x14ac:dyDescent="0.25">
      <c r="A93" s="1">
        <v>42646</v>
      </c>
      <c r="B93" s="2">
        <f t="shared" si="3"/>
        <v>40</v>
      </c>
      <c r="C93" s="2">
        <f t="shared" si="4"/>
        <v>2016</v>
      </c>
      <c r="D93">
        <v>155</v>
      </c>
    </row>
    <row r="94" spans="1:4" x14ac:dyDescent="0.25">
      <c r="A94" s="1">
        <v>42653</v>
      </c>
      <c r="B94" s="2">
        <f t="shared" si="3"/>
        <v>41</v>
      </c>
      <c r="C94" s="2">
        <f t="shared" si="4"/>
        <v>2016</v>
      </c>
      <c r="D94">
        <v>170</v>
      </c>
    </row>
    <row r="95" spans="1:4" x14ac:dyDescent="0.25">
      <c r="A95" s="1">
        <v>42660</v>
      </c>
      <c r="B95" s="2">
        <f t="shared" si="3"/>
        <v>42</v>
      </c>
      <c r="C95" s="2">
        <f t="shared" si="4"/>
        <v>2016</v>
      </c>
      <c r="D95">
        <v>181</v>
      </c>
    </row>
    <row r="96" spans="1:4" x14ac:dyDescent="0.25">
      <c r="A96" s="1">
        <v>42667</v>
      </c>
      <c r="B96" s="2">
        <f t="shared" si="3"/>
        <v>43</v>
      </c>
      <c r="C96" s="2">
        <f t="shared" si="4"/>
        <v>2016</v>
      </c>
      <c r="D96">
        <v>165</v>
      </c>
    </row>
    <row r="97" spans="1:4" x14ac:dyDescent="0.25">
      <c r="A97" s="1">
        <v>42674</v>
      </c>
      <c r="B97" s="2">
        <f t="shared" si="3"/>
        <v>44</v>
      </c>
      <c r="C97" s="2">
        <f t="shared" si="4"/>
        <v>2016</v>
      </c>
      <c r="D97">
        <v>165</v>
      </c>
    </row>
    <row r="98" spans="1:4" x14ac:dyDescent="0.25">
      <c r="A98" s="1">
        <v>42681</v>
      </c>
      <c r="B98" s="2">
        <f t="shared" si="3"/>
        <v>45</v>
      </c>
      <c r="C98" s="2">
        <f t="shared" si="4"/>
        <v>2016</v>
      </c>
      <c r="D98">
        <v>193</v>
      </c>
    </row>
    <row r="99" spans="1:4" x14ac:dyDescent="0.25">
      <c r="A99" s="1">
        <v>42688</v>
      </c>
      <c r="B99" s="2">
        <f t="shared" si="3"/>
        <v>46</v>
      </c>
      <c r="C99" s="2">
        <f t="shared" si="4"/>
        <v>2016</v>
      </c>
      <c r="D99">
        <v>190</v>
      </c>
    </row>
    <row r="100" spans="1:4" x14ac:dyDescent="0.25">
      <c r="A100" s="1">
        <v>42695</v>
      </c>
      <c r="B100" s="2">
        <f t="shared" si="3"/>
        <v>47</v>
      </c>
      <c r="C100" s="2">
        <f t="shared" si="4"/>
        <v>2016</v>
      </c>
      <c r="D100">
        <v>186</v>
      </c>
    </row>
    <row r="101" spans="1:4" x14ac:dyDescent="0.25">
      <c r="A101" s="1">
        <v>42702</v>
      </c>
      <c r="B101" s="2">
        <f t="shared" si="3"/>
        <v>48</v>
      </c>
      <c r="C101" s="2">
        <f t="shared" si="4"/>
        <v>2016</v>
      </c>
      <c r="D101">
        <v>192</v>
      </c>
    </row>
    <row r="102" spans="1:4" x14ac:dyDescent="0.25">
      <c r="A102" s="1">
        <v>42709</v>
      </c>
      <c r="B102" s="2">
        <f t="shared" si="3"/>
        <v>49</v>
      </c>
      <c r="C102" s="2">
        <f t="shared" si="4"/>
        <v>2016</v>
      </c>
      <c r="D102">
        <v>178</v>
      </c>
    </row>
    <row r="103" spans="1:4" x14ac:dyDescent="0.25">
      <c r="A103" s="1">
        <v>42716</v>
      </c>
      <c r="B103" s="2">
        <f t="shared" si="3"/>
        <v>50</v>
      </c>
      <c r="C103" s="2">
        <f t="shared" si="4"/>
        <v>2016</v>
      </c>
      <c r="D103">
        <v>194</v>
      </c>
    </row>
    <row r="104" spans="1:4" x14ac:dyDescent="0.25">
      <c r="A104" s="1">
        <v>42723</v>
      </c>
      <c r="B104" s="2">
        <f t="shared" si="3"/>
        <v>51</v>
      </c>
      <c r="C104" s="2">
        <f t="shared" si="4"/>
        <v>2016</v>
      </c>
      <c r="D104">
        <v>158</v>
      </c>
    </row>
    <row r="105" spans="1:4" x14ac:dyDescent="0.25">
      <c r="A105" s="1">
        <v>42730</v>
      </c>
      <c r="B105" s="2">
        <f t="shared" si="3"/>
        <v>52</v>
      </c>
      <c r="C105" s="2">
        <f t="shared" si="4"/>
        <v>2016</v>
      </c>
      <c r="D105">
        <v>221</v>
      </c>
    </row>
    <row r="106" spans="1:4" x14ac:dyDescent="0.25">
      <c r="A106" s="1">
        <v>42737</v>
      </c>
      <c r="B106" s="2">
        <f t="shared" si="3"/>
        <v>1</v>
      </c>
      <c r="C106" s="2">
        <f t="shared" si="4"/>
        <v>2017</v>
      </c>
      <c r="D106">
        <v>198</v>
      </c>
    </row>
    <row r="107" spans="1:4" x14ac:dyDescent="0.25">
      <c r="A107" s="1">
        <v>42744</v>
      </c>
      <c r="B107" s="2">
        <f t="shared" si="3"/>
        <v>2</v>
      </c>
      <c r="C107" s="2">
        <f t="shared" si="4"/>
        <v>2017</v>
      </c>
      <c r="D107">
        <v>229</v>
      </c>
    </row>
    <row r="108" spans="1:4" x14ac:dyDescent="0.25">
      <c r="A108" s="1">
        <v>42751</v>
      </c>
      <c r="B108" s="2">
        <f t="shared" si="3"/>
        <v>3</v>
      </c>
      <c r="C108" s="2">
        <f t="shared" si="4"/>
        <v>2017</v>
      </c>
      <c r="D108">
        <v>217</v>
      </c>
    </row>
    <row r="109" spans="1:4" x14ac:dyDescent="0.25">
      <c r="A109" s="1">
        <v>42758</v>
      </c>
      <c r="B109" s="2">
        <f t="shared" si="3"/>
        <v>4</v>
      </c>
      <c r="C109" s="2">
        <f t="shared" si="4"/>
        <v>2017</v>
      </c>
      <c r="D109">
        <v>219</v>
      </c>
    </row>
    <row r="110" spans="1:4" x14ac:dyDescent="0.25">
      <c r="A110" s="1">
        <v>42765</v>
      </c>
      <c r="B110" s="2">
        <f t="shared" si="3"/>
        <v>5</v>
      </c>
      <c r="C110" s="2">
        <f t="shared" si="4"/>
        <v>2017</v>
      </c>
      <c r="D110">
        <v>220</v>
      </c>
    </row>
    <row r="111" spans="1:4" x14ac:dyDescent="0.25">
      <c r="A111" s="1">
        <v>42772</v>
      </c>
      <c r="B111" s="2">
        <f t="shared" si="3"/>
        <v>6</v>
      </c>
      <c r="C111" s="2">
        <f t="shared" si="4"/>
        <v>2017</v>
      </c>
      <c r="D111">
        <v>183</v>
      </c>
    </row>
    <row r="112" spans="1:4" x14ac:dyDescent="0.25">
      <c r="A112" s="1">
        <v>42779</v>
      </c>
      <c r="B112" s="2">
        <f t="shared" si="3"/>
        <v>7</v>
      </c>
      <c r="C112" s="2">
        <f t="shared" si="4"/>
        <v>2017</v>
      </c>
      <c r="D112">
        <v>194</v>
      </c>
    </row>
    <row r="113" spans="1:4" x14ac:dyDescent="0.25">
      <c r="A113" s="1">
        <v>42786</v>
      </c>
      <c r="B113" s="2">
        <f t="shared" si="3"/>
        <v>8</v>
      </c>
      <c r="C113" s="2">
        <f t="shared" si="4"/>
        <v>2017</v>
      </c>
      <c r="D113">
        <v>197</v>
      </c>
    </row>
    <row r="114" spans="1:4" x14ac:dyDescent="0.25">
      <c r="A114" s="1">
        <v>42793</v>
      </c>
      <c r="B114" s="2">
        <f t="shared" si="3"/>
        <v>9</v>
      </c>
      <c r="C114" s="2">
        <f t="shared" si="4"/>
        <v>2017</v>
      </c>
      <c r="D114">
        <v>187</v>
      </c>
    </row>
    <row r="115" spans="1:4" x14ac:dyDescent="0.25">
      <c r="A115" s="1">
        <v>42800</v>
      </c>
      <c r="B115" s="2">
        <f t="shared" si="3"/>
        <v>10</v>
      </c>
      <c r="C115" s="2">
        <f t="shared" si="4"/>
        <v>2017</v>
      </c>
      <c r="D115">
        <v>195</v>
      </c>
    </row>
    <row r="116" spans="1:4" x14ac:dyDescent="0.25">
      <c r="A116" s="1">
        <v>42807</v>
      </c>
      <c r="B116" s="2">
        <f t="shared" si="3"/>
        <v>11</v>
      </c>
      <c r="C116" s="2">
        <f t="shared" si="4"/>
        <v>2017</v>
      </c>
      <c r="D116">
        <v>178</v>
      </c>
    </row>
    <row r="117" spans="1:4" x14ac:dyDescent="0.25">
      <c r="A117" s="1">
        <v>42814</v>
      </c>
      <c r="B117" s="2">
        <f t="shared" si="3"/>
        <v>12</v>
      </c>
      <c r="C117" s="2">
        <f t="shared" si="4"/>
        <v>2017</v>
      </c>
      <c r="D117">
        <v>164</v>
      </c>
    </row>
    <row r="118" spans="1:4" x14ac:dyDescent="0.25">
      <c r="A118" s="1">
        <v>42821</v>
      </c>
      <c r="B118" s="2">
        <f t="shared" si="3"/>
        <v>13</v>
      </c>
      <c r="C118" s="2">
        <f t="shared" si="4"/>
        <v>2017</v>
      </c>
      <c r="D118">
        <v>164</v>
      </c>
    </row>
    <row r="119" spans="1:4" x14ac:dyDescent="0.25">
      <c r="A119" s="1">
        <v>42828</v>
      </c>
      <c r="B119" s="2">
        <f t="shared" si="3"/>
        <v>14</v>
      </c>
      <c r="C119" s="2">
        <f t="shared" si="4"/>
        <v>2017</v>
      </c>
      <c r="D119">
        <v>147</v>
      </c>
    </row>
    <row r="120" spans="1:4" x14ac:dyDescent="0.25">
      <c r="A120" s="1">
        <v>42835</v>
      </c>
      <c r="B120" s="2">
        <f t="shared" si="3"/>
        <v>15</v>
      </c>
      <c r="C120" s="2">
        <f t="shared" si="4"/>
        <v>2017</v>
      </c>
      <c r="D120">
        <v>149</v>
      </c>
    </row>
    <row r="121" spans="1:4" x14ac:dyDescent="0.25">
      <c r="A121" s="1">
        <v>42842</v>
      </c>
      <c r="B121" s="2">
        <f t="shared" si="3"/>
        <v>16</v>
      </c>
      <c r="C121" s="2">
        <f t="shared" si="4"/>
        <v>2017</v>
      </c>
      <c r="D121">
        <v>155</v>
      </c>
    </row>
    <row r="122" spans="1:4" x14ac:dyDescent="0.25">
      <c r="A122" s="1">
        <v>42849</v>
      </c>
      <c r="B122" s="2">
        <f t="shared" si="3"/>
        <v>17</v>
      </c>
      <c r="C122" s="2">
        <f t="shared" si="4"/>
        <v>2017</v>
      </c>
      <c r="D122">
        <v>155</v>
      </c>
    </row>
    <row r="123" spans="1:4" x14ac:dyDescent="0.25">
      <c r="A123" s="1">
        <v>42856</v>
      </c>
      <c r="B123" s="2">
        <f t="shared" si="3"/>
        <v>18</v>
      </c>
      <c r="C123" s="2">
        <f t="shared" si="4"/>
        <v>2017</v>
      </c>
      <c r="D123">
        <v>179</v>
      </c>
    </row>
    <row r="124" spans="1:4" x14ac:dyDescent="0.25">
      <c r="A124" s="1">
        <v>42863</v>
      </c>
      <c r="B124" s="2">
        <f t="shared" si="3"/>
        <v>19</v>
      </c>
      <c r="C124" s="2">
        <f t="shared" si="4"/>
        <v>2017</v>
      </c>
      <c r="D124">
        <v>176</v>
      </c>
    </row>
    <row r="125" spans="1:4" x14ac:dyDescent="0.25">
      <c r="A125" s="1">
        <v>42870</v>
      </c>
      <c r="B125" s="2">
        <f t="shared" si="3"/>
        <v>20</v>
      </c>
      <c r="C125" s="2">
        <f t="shared" si="4"/>
        <v>2017</v>
      </c>
      <c r="D125">
        <v>174</v>
      </c>
    </row>
    <row r="126" spans="1:4" x14ac:dyDescent="0.25">
      <c r="A126" s="1">
        <v>42877</v>
      </c>
      <c r="B126" s="2">
        <f t="shared" si="3"/>
        <v>21</v>
      </c>
      <c r="C126" s="2">
        <f t="shared" si="4"/>
        <v>2017</v>
      </c>
      <c r="D126">
        <v>144</v>
      </c>
    </row>
    <row r="127" spans="1:4" x14ac:dyDescent="0.25">
      <c r="A127" s="1">
        <v>42884</v>
      </c>
      <c r="B127" s="2">
        <f t="shared" si="3"/>
        <v>22</v>
      </c>
      <c r="C127" s="2">
        <f t="shared" si="4"/>
        <v>2017</v>
      </c>
      <c r="D127">
        <v>173</v>
      </c>
    </row>
    <row r="128" spans="1:4" x14ac:dyDescent="0.25">
      <c r="A128" s="1">
        <v>42891</v>
      </c>
      <c r="B128" s="2">
        <f t="shared" si="3"/>
        <v>23</v>
      </c>
      <c r="C128" s="2">
        <f t="shared" si="4"/>
        <v>2017</v>
      </c>
      <c r="D128">
        <v>131</v>
      </c>
    </row>
    <row r="129" spans="1:4" x14ac:dyDescent="0.25">
      <c r="A129" s="1">
        <v>42898</v>
      </c>
      <c r="B129" s="2">
        <f t="shared" si="3"/>
        <v>24</v>
      </c>
      <c r="C129" s="2">
        <f t="shared" si="4"/>
        <v>2017</v>
      </c>
      <c r="D129">
        <v>156</v>
      </c>
    </row>
    <row r="130" spans="1:4" x14ac:dyDescent="0.25">
      <c r="A130" s="1">
        <v>42905</v>
      </c>
      <c r="B130" s="2">
        <f t="shared" si="3"/>
        <v>25</v>
      </c>
      <c r="C130" s="2">
        <f t="shared" si="4"/>
        <v>2017</v>
      </c>
      <c r="D130">
        <v>182</v>
      </c>
    </row>
    <row r="131" spans="1:4" x14ac:dyDescent="0.25">
      <c r="A131" s="1">
        <v>42912</v>
      </c>
      <c r="B131" s="2">
        <f t="shared" ref="B131:B194" si="5">_xlfn.ISOWEEKNUM(A131)</f>
        <v>26</v>
      </c>
      <c r="C131" s="2">
        <f t="shared" ref="C131:C194" si="6">YEAR(A131)</f>
        <v>2017</v>
      </c>
      <c r="D131">
        <v>166</v>
      </c>
    </row>
    <row r="132" spans="1:4" x14ac:dyDescent="0.25">
      <c r="A132" s="1">
        <v>42919</v>
      </c>
      <c r="B132" s="2">
        <f t="shared" si="5"/>
        <v>27</v>
      </c>
      <c r="C132" s="2">
        <f t="shared" si="6"/>
        <v>2017</v>
      </c>
      <c r="D132">
        <v>180</v>
      </c>
    </row>
    <row r="133" spans="1:4" x14ac:dyDescent="0.25">
      <c r="A133" s="1">
        <v>42926</v>
      </c>
      <c r="B133" s="2">
        <f t="shared" si="5"/>
        <v>28</v>
      </c>
      <c r="C133" s="2">
        <f t="shared" si="6"/>
        <v>2017</v>
      </c>
      <c r="D133">
        <v>185</v>
      </c>
    </row>
    <row r="134" spans="1:4" x14ac:dyDescent="0.25">
      <c r="A134" s="1">
        <v>42933</v>
      </c>
      <c r="B134" s="2">
        <f t="shared" si="5"/>
        <v>29</v>
      </c>
      <c r="C134" s="2">
        <f t="shared" si="6"/>
        <v>2017</v>
      </c>
      <c r="D134">
        <v>159</v>
      </c>
    </row>
    <row r="135" spans="1:4" x14ac:dyDescent="0.25">
      <c r="A135" s="1">
        <v>42940</v>
      </c>
      <c r="B135" s="2">
        <f t="shared" si="5"/>
        <v>30</v>
      </c>
      <c r="C135" s="2">
        <f t="shared" si="6"/>
        <v>2017</v>
      </c>
      <c r="D135">
        <v>139</v>
      </c>
    </row>
    <row r="136" spans="1:4" x14ac:dyDescent="0.25">
      <c r="A136" s="1">
        <v>42947</v>
      </c>
      <c r="B136" s="2">
        <f t="shared" si="5"/>
        <v>31</v>
      </c>
      <c r="C136" s="2">
        <f t="shared" si="6"/>
        <v>2017</v>
      </c>
      <c r="D136">
        <v>158</v>
      </c>
    </row>
    <row r="137" spans="1:4" x14ac:dyDescent="0.25">
      <c r="A137" s="1">
        <v>42954</v>
      </c>
      <c r="B137" s="2">
        <f t="shared" si="5"/>
        <v>32</v>
      </c>
      <c r="C137" s="2">
        <f t="shared" si="6"/>
        <v>2017</v>
      </c>
      <c r="D137">
        <v>162</v>
      </c>
    </row>
    <row r="138" spans="1:4" x14ac:dyDescent="0.25">
      <c r="A138" s="1">
        <v>42961</v>
      </c>
      <c r="B138" s="2">
        <f t="shared" si="5"/>
        <v>33</v>
      </c>
      <c r="C138" s="2">
        <f t="shared" si="6"/>
        <v>2017</v>
      </c>
      <c r="D138">
        <v>157</v>
      </c>
    </row>
    <row r="139" spans="1:4" x14ac:dyDescent="0.25">
      <c r="A139" s="1">
        <v>42968</v>
      </c>
      <c r="B139" s="2">
        <f t="shared" si="5"/>
        <v>34</v>
      </c>
      <c r="C139" s="2">
        <f t="shared" si="6"/>
        <v>2017</v>
      </c>
      <c r="D139">
        <v>187</v>
      </c>
    </row>
    <row r="140" spans="1:4" x14ac:dyDescent="0.25">
      <c r="A140" s="1">
        <v>42975</v>
      </c>
      <c r="B140" s="2">
        <f t="shared" si="5"/>
        <v>35</v>
      </c>
      <c r="C140" s="2">
        <f t="shared" si="6"/>
        <v>2017</v>
      </c>
      <c r="D140">
        <v>157</v>
      </c>
    </row>
    <row r="141" spans="1:4" x14ac:dyDescent="0.25">
      <c r="A141" s="1">
        <v>42982</v>
      </c>
      <c r="B141" s="2">
        <f t="shared" si="5"/>
        <v>36</v>
      </c>
      <c r="C141" s="2">
        <f t="shared" si="6"/>
        <v>2017</v>
      </c>
      <c r="D141">
        <v>175</v>
      </c>
    </row>
    <row r="142" spans="1:4" x14ac:dyDescent="0.25">
      <c r="A142" s="1">
        <v>42989</v>
      </c>
      <c r="B142" s="2">
        <f t="shared" si="5"/>
        <v>37</v>
      </c>
      <c r="C142" s="2">
        <f t="shared" si="6"/>
        <v>2017</v>
      </c>
      <c r="D142">
        <v>143</v>
      </c>
    </row>
    <row r="143" spans="1:4" x14ac:dyDescent="0.25">
      <c r="A143" s="1">
        <v>42996</v>
      </c>
      <c r="B143" s="2">
        <f t="shared" si="5"/>
        <v>38</v>
      </c>
      <c r="C143" s="2">
        <f t="shared" si="6"/>
        <v>2017</v>
      </c>
      <c r="D143">
        <v>166</v>
      </c>
    </row>
    <row r="144" spans="1:4" x14ac:dyDescent="0.25">
      <c r="A144" s="1">
        <v>43003</v>
      </c>
      <c r="B144" s="2">
        <f t="shared" si="5"/>
        <v>39</v>
      </c>
      <c r="C144" s="2">
        <f t="shared" si="6"/>
        <v>2017</v>
      </c>
      <c r="D144">
        <v>170</v>
      </c>
    </row>
    <row r="145" spans="1:4" x14ac:dyDescent="0.25">
      <c r="A145" s="1">
        <v>43010</v>
      </c>
      <c r="B145" s="2">
        <f t="shared" si="5"/>
        <v>40</v>
      </c>
      <c r="C145" s="2">
        <f t="shared" si="6"/>
        <v>2017</v>
      </c>
      <c r="D145">
        <v>141</v>
      </c>
    </row>
    <row r="146" spans="1:4" x14ac:dyDescent="0.25">
      <c r="A146" s="1">
        <v>43017</v>
      </c>
      <c r="B146" s="2">
        <f t="shared" si="5"/>
        <v>41</v>
      </c>
      <c r="C146" s="2">
        <f t="shared" si="6"/>
        <v>2017</v>
      </c>
      <c r="D146">
        <v>176</v>
      </c>
    </row>
    <row r="147" spans="1:4" x14ac:dyDescent="0.25">
      <c r="A147" s="1">
        <v>43024</v>
      </c>
      <c r="B147" s="2">
        <f t="shared" si="5"/>
        <v>42</v>
      </c>
      <c r="C147" s="2">
        <f t="shared" si="6"/>
        <v>2017</v>
      </c>
      <c r="D147">
        <v>179</v>
      </c>
    </row>
    <row r="148" spans="1:4" x14ac:dyDescent="0.25">
      <c r="A148" s="1">
        <v>43031</v>
      </c>
      <c r="B148" s="2">
        <f t="shared" si="5"/>
        <v>43</v>
      </c>
      <c r="C148" s="2">
        <f t="shared" si="6"/>
        <v>2017</v>
      </c>
      <c r="D148">
        <v>165</v>
      </c>
    </row>
    <row r="149" spans="1:4" x14ac:dyDescent="0.25">
      <c r="A149" s="1">
        <v>43038</v>
      </c>
      <c r="B149" s="2">
        <f t="shared" si="5"/>
        <v>44</v>
      </c>
      <c r="C149" s="2">
        <f t="shared" si="6"/>
        <v>2017</v>
      </c>
      <c r="D149">
        <v>190</v>
      </c>
    </row>
    <row r="150" spans="1:4" x14ac:dyDescent="0.25">
      <c r="A150" s="1">
        <v>43045</v>
      </c>
      <c r="B150" s="2">
        <f t="shared" si="5"/>
        <v>45</v>
      </c>
      <c r="C150" s="2">
        <f t="shared" si="6"/>
        <v>2017</v>
      </c>
      <c r="D150">
        <v>170</v>
      </c>
    </row>
    <row r="151" spans="1:4" x14ac:dyDescent="0.25">
      <c r="A151" s="1">
        <v>43052</v>
      </c>
      <c r="B151" s="2">
        <f t="shared" si="5"/>
        <v>46</v>
      </c>
      <c r="C151" s="2">
        <f t="shared" si="6"/>
        <v>2017</v>
      </c>
      <c r="D151">
        <v>162</v>
      </c>
    </row>
    <row r="152" spans="1:4" x14ac:dyDescent="0.25">
      <c r="A152" s="1">
        <v>43059</v>
      </c>
      <c r="B152" s="2">
        <f t="shared" si="5"/>
        <v>47</v>
      </c>
      <c r="C152" s="2">
        <f t="shared" si="6"/>
        <v>2017</v>
      </c>
      <c r="D152">
        <v>175</v>
      </c>
    </row>
    <row r="153" spans="1:4" x14ac:dyDescent="0.25">
      <c r="A153" s="1">
        <v>43066</v>
      </c>
      <c r="B153" s="2">
        <f t="shared" si="5"/>
        <v>48</v>
      </c>
      <c r="C153" s="2">
        <f t="shared" si="6"/>
        <v>2017</v>
      </c>
      <c r="D153">
        <v>149</v>
      </c>
    </row>
    <row r="154" spans="1:4" x14ac:dyDescent="0.25">
      <c r="A154" s="1">
        <v>43073</v>
      </c>
      <c r="B154" s="2">
        <f t="shared" si="5"/>
        <v>49</v>
      </c>
      <c r="C154" s="2">
        <f t="shared" si="6"/>
        <v>2017</v>
      </c>
      <c r="D154">
        <v>186</v>
      </c>
    </row>
    <row r="155" spans="1:4" x14ac:dyDescent="0.25">
      <c r="A155" s="1">
        <v>43080</v>
      </c>
      <c r="B155" s="2">
        <f t="shared" si="5"/>
        <v>50</v>
      </c>
      <c r="C155" s="2">
        <f t="shared" si="6"/>
        <v>2017</v>
      </c>
      <c r="D155">
        <v>186</v>
      </c>
    </row>
    <row r="156" spans="1:4" x14ac:dyDescent="0.25">
      <c r="A156" s="1">
        <v>43087</v>
      </c>
      <c r="B156" s="2">
        <f t="shared" si="5"/>
        <v>51</v>
      </c>
      <c r="C156" s="2">
        <f t="shared" si="6"/>
        <v>2017</v>
      </c>
      <c r="D156">
        <v>179</v>
      </c>
    </row>
    <row r="157" spans="1:4" x14ac:dyDescent="0.25">
      <c r="A157" s="1">
        <v>43094</v>
      </c>
      <c r="B157" s="2">
        <f t="shared" si="5"/>
        <v>52</v>
      </c>
      <c r="C157" s="2">
        <f t="shared" si="6"/>
        <v>2017</v>
      </c>
      <c r="D157">
        <v>178</v>
      </c>
    </row>
    <row r="158" spans="1:4" x14ac:dyDescent="0.25">
      <c r="A158" s="1">
        <v>43101</v>
      </c>
      <c r="B158" s="2">
        <f t="shared" si="5"/>
        <v>1</v>
      </c>
      <c r="C158" s="2">
        <f t="shared" si="6"/>
        <v>2018</v>
      </c>
      <c r="D158">
        <v>175</v>
      </c>
    </row>
    <row r="159" spans="1:4" x14ac:dyDescent="0.25">
      <c r="A159" s="1">
        <v>43108</v>
      </c>
      <c r="B159" s="2">
        <f t="shared" si="5"/>
        <v>2</v>
      </c>
      <c r="C159" s="2">
        <f t="shared" si="6"/>
        <v>2018</v>
      </c>
      <c r="D159">
        <v>168</v>
      </c>
    </row>
    <row r="160" spans="1:4" x14ac:dyDescent="0.25">
      <c r="A160" s="1">
        <v>43115</v>
      </c>
      <c r="B160" s="2">
        <f t="shared" si="5"/>
        <v>3</v>
      </c>
      <c r="C160" s="2">
        <f t="shared" si="6"/>
        <v>2018</v>
      </c>
      <c r="D160">
        <v>178</v>
      </c>
    </row>
    <row r="161" spans="1:4" x14ac:dyDescent="0.25">
      <c r="A161" s="1">
        <v>43122</v>
      </c>
      <c r="B161" s="2">
        <f t="shared" si="5"/>
        <v>4</v>
      </c>
      <c r="C161" s="2">
        <f t="shared" si="6"/>
        <v>2018</v>
      </c>
      <c r="D161">
        <v>181</v>
      </c>
    </row>
    <row r="162" spans="1:4" x14ac:dyDescent="0.25">
      <c r="A162" s="1">
        <v>43129</v>
      </c>
      <c r="B162" s="2">
        <f t="shared" si="5"/>
        <v>5</v>
      </c>
      <c r="C162" s="2">
        <f t="shared" si="6"/>
        <v>2018</v>
      </c>
      <c r="D162">
        <v>196</v>
      </c>
    </row>
    <row r="163" spans="1:4" x14ac:dyDescent="0.25">
      <c r="A163" s="1">
        <v>43136</v>
      </c>
      <c r="B163" s="2">
        <f t="shared" si="5"/>
        <v>6</v>
      </c>
      <c r="C163" s="2">
        <f t="shared" si="6"/>
        <v>2018</v>
      </c>
      <c r="D163">
        <v>181</v>
      </c>
    </row>
    <row r="164" spans="1:4" x14ac:dyDescent="0.25">
      <c r="A164" s="1">
        <v>43143</v>
      </c>
      <c r="B164" s="2">
        <f t="shared" si="5"/>
        <v>7</v>
      </c>
      <c r="C164" s="2">
        <f t="shared" si="6"/>
        <v>2018</v>
      </c>
      <c r="D164">
        <v>200</v>
      </c>
    </row>
    <row r="165" spans="1:4" x14ac:dyDescent="0.25">
      <c r="A165" s="1">
        <v>43150</v>
      </c>
      <c r="B165" s="2">
        <f t="shared" si="5"/>
        <v>8</v>
      </c>
      <c r="C165" s="2">
        <f t="shared" si="6"/>
        <v>2018</v>
      </c>
      <c r="D165">
        <v>184</v>
      </c>
    </row>
    <row r="166" spans="1:4" x14ac:dyDescent="0.25">
      <c r="A166" s="1">
        <v>43157</v>
      </c>
      <c r="B166" s="2">
        <f t="shared" si="5"/>
        <v>9</v>
      </c>
      <c r="C166" s="2">
        <f t="shared" si="6"/>
        <v>2018</v>
      </c>
      <c r="D166">
        <v>226</v>
      </c>
    </row>
    <row r="167" spans="1:4" x14ac:dyDescent="0.25">
      <c r="A167" s="1">
        <v>43164</v>
      </c>
      <c r="B167" s="2">
        <f t="shared" si="5"/>
        <v>10</v>
      </c>
      <c r="C167" s="2">
        <f t="shared" si="6"/>
        <v>2018</v>
      </c>
      <c r="D167">
        <v>251</v>
      </c>
    </row>
    <row r="168" spans="1:4" x14ac:dyDescent="0.25">
      <c r="A168" s="1">
        <v>43171</v>
      </c>
      <c r="B168" s="2">
        <f t="shared" si="5"/>
        <v>11</v>
      </c>
      <c r="C168" s="2">
        <f t="shared" si="6"/>
        <v>2018</v>
      </c>
      <c r="D168">
        <v>200</v>
      </c>
    </row>
    <row r="169" spans="1:4" x14ac:dyDescent="0.25">
      <c r="A169" s="1">
        <v>43178</v>
      </c>
      <c r="B169" s="2">
        <f t="shared" si="5"/>
        <v>12</v>
      </c>
      <c r="C169" s="2">
        <f t="shared" si="6"/>
        <v>2018</v>
      </c>
      <c r="D169">
        <v>210</v>
      </c>
    </row>
    <row r="170" spans="1:4" x14ac:dyDescent="0.25">
      <c r="A170" s="1">
        <v>43185</v>
      </c>
      <c r="B170" s="2">
        <f t="shared" si="5"/>
        <v>13</v>
      </c>
      <c r="C170" s="2">
        <f t="shared" si="6"/>
        <v>2018</v>
      </c>
      <c r="D170">
        <v>180</v>
      </c>
    </row>
    <row r="171" spans="1:4" x14ac:dyDescent="0.25">
      <c r="A171" s="1">
        <v>43192</v>
      </c>
      <c r="B171" s="2">
        <f t="shared" si="5"/>
        <v>14</v>
      </c>
      <c r="C171" s="2">
        <f t="shared" si="6"/>
        <v>2018</v>
      </c>
      <c r="D171">
        <v>187</v>
      </c>
    </row>
    <row r="172" spans="1:4" x14ac:dyDescent="0.25">
      <c r="A172" s="1">
        <v>43199</v>
      </c>
      <c r="B172" s="2">
        <f t="shared" si="5"/>
        <v>15</v>
      </c>
      <c r="C172" s="2">
        <f t="shared" si="6"/>
        <v>2018</v>
      </c>
      <c r="D172">
        <v>167</v>
      </c>
    </row>
    <row r="173" spans="1:4" x14ac:dyDescent="0.25">
      <c r="A173" s="1">
        <v>43206</v>
      </c>
      <c r="B173" s="2">
        <f t="shared" si="5"/>
        <v>16</v>
      </c>
      <c r="C173" s="2">
        <f t="shared" si="6"/>
        <v>2018</v>
      </c>
      <c r="D173">
        <v>162</v>
      </c>
    </row>
    <row r="174" spans="1:4" x14ac:dyDescent="0.25">
      <c r="A174" s="1">
        <v>43213</v>
      </c>
      <c r="B174" s="2">
        <f t="shared" si="5"/>
        <v>17</v>
      </c>
      <c r="C174" s="2">
        <f t="shared" si="6"/>
        <v>2018</v>
      </c>
      <c r="D174">
        <v>155</v>
      </c>
    </row>
    <row r="175" spans="1:4" x14ac:dyDescent="0.25">
      <c r="A175" s="1">
        <v>43220</v>
      </c>
      <c r="B175" s="2">
        <f t="shared" si="5"/>
        <v>18</v>
      </c>
      <c r="C175" s="2">
        <f t="shared" si="6"/>
        <v>2018</v>
      </c>
      <c r="D175">
        <v>157</v>
      </c>
    </row>
    <row r="176" spans="1:4" x14ac:dyDescent="0.25">
      <c r="A176" s="1">
        <v>43227</v>
      </c>
      <c r="B176" s="2">
        <f t="shared" si="5"/>
        <v>19</v>
      </c>
      <c r="C176" s="2">
        <f t="shared" si="6"/>
        <v>2018</v>
      </c>
      <c r="D176">
        <v>151</v>
      </c>
    </row>
    <row r="177" spans="1:4" x14ac:dyDescent="0.25">
      <c r="A177" s="1">
        <v>43234</v>
      </c>
      <c r="B177" s="2">
        <f t="shared" si="5"/>
        <v>20</v>
      </c>
      <c r="C177" s="2">
        <f t="shared" si="6"/>
        <v>2018</v>
      </c>
      <c r="D177">
        <v>153</v>
      </c>
    </row>
    <row r="178" spans="1:4" x14ac:dyDescent="0.25">
      <c r="A178" s="1">
        <v>43241</v>
      </c>
      <c r="B178" s="2">
        <f t="shared" si="5"/>
        <v>21</v>
      </c>
      <c r="C178" s="2">
        <f t="shared" si="6"/>
        <v>2018</v>
      </c>
      <c r="D178">
        <v>144</v>
      </c>
    </row>
    <row r="179" spans="1:4" x14ac:dyDescent="0.25">
      <c r="A179" s="1">
        <v>43248</v>
      </c>
      <c r="B179" s="2">
        <f t="shared" si="5"/>
        <v>22</v>
      </c>
      <c r="C179" s="2">
        <f t="shared" si="6"/>
        <v>2018</v>
      </c>
      <c r="D179">
        <v>181</v>
      </c>
    </row>
    <row r="180" spans="1:4" x14ac:dyDescent="0.25">
      <c r="A180" s="1">
        <v>43255</v>
      </c>
      <c r="B180" s="2">
        <f t="shared" si="5"/>
        <v>23</v>
      </c>
      <c r="C180" s="2">
        <f t="shared" si="6"/>
        <v>2018</v>
      </c>
      <c r="D180">
        <v>137</v>
      </c>
    </row>
    <row r="181" spans="1:4" x14ac:dyDescent="0.25">
      <c r="A181" s="1">
        <v>43262</v>
      </c>
      <c r="B181" s="2">
        <f t="shared" si="5"/>
        <v>24</v>
      </c>
      <c r="C181" s="2">
        <f t="shared" si="6"/>
        <v>2018</v>
      </c>
      <c r="D181">
        <v>140</v>
      </c>
    </row>
    <row r="182" spans="1:4" x14ac:dyDescent="0.25">
      <c r="A182" s="1">
        <v>43269</v>
      </c>
      <c r="B182" s="2">
        <f t="shared" si="5"/>
        <v>25</v>
      </c>
      <c r="C182" s="2">
        <f t="shared" si="6"/>
        <v>2018</v>
      </c>
      <c r="D182">
        <v>160</v>
      </c>
    </row>
    <row r="183" spans="1:4" x14ac:dyDescent="0.25">
      <c r="A183" s="1">
        <v>43276</v>
      </c>
      <c r="B183" s="2">
        <f t="shared" si="5"/>
        <v>26</v>
      </c>
      <c r="C183" s="2">
        <f t="shared" si="6"/>
        <v>2018</v>
      </c>
      <c r="D183">
        <v>168</v>
      </c>
    </row>
    <row r="184" spans="1:4" x14ac:dyDescent="0.25">
      <c r="A184" s="1">
        <v>43283</v>
      </c>
      <c r="B184" s="2">
        <f t="shared" si="5"/>
        <v>27</v>
      </c>
      <c r="C184" s="2">
        <f t="shared" si="6"/>
        <v>2018</v>
      </c>
      <c r="D184">
        <v>182</v>
      </c>
    </row>
    <row r="185" spans="1:4" x14ac:dyDescent="0.25">
      <c r="A185" s="1">
        <v>43290</v>
      </c>
      <c r="B185" s="2">
        <f t="shared" si="5"/>
        <v>28</v>
      </c>
      <c r="C185" s="2">
        <f t="shared" si="6"/>
        <v>2018</v>
      </c>
      <c r="D185">
        <v>157</v>
      </c>
    </row>
    <row r="186" spans="1:4" x14ac:dyDescent="0.25">
      <c r="A186" s="1">
        <v>43297</v>
      </c>
      <c r="B186" s="2">
        <f t="shared" si="5"/>
        <v>29</v>
      </c>
      <c r="C186" s="2">
        <f t="shared" si="6"/>
        <v>2018</v>
      </c>
      <c r="D186">
        <v>164</v>
      </c>
    </row>
    <row r="187" spans="1:4" x14ac:dyDescent="0.25">
      <c r="A187" s="1">
        <v>43304</v>
      </c>
      <c r="B187" s="2">
        <f t="shared" si="5"/>
        <v>30</v>
      </c>
      <c r="C187" s="2">
        <f t="shared" si="6"/>
        <v>2018</v>
      </c>
      <c r="D187">
        <v>172</v>
      </c>
    </row>
    <row r="188" spans="1:4" x14ac:dyDescent="0.25">
      <c r="A188" s="1">
        <v>43311</v>
      </c>
      <c r="B188" s="2">
        <f t="shared" si="5"/>
        <v>31</v>
      </c>
      <c r="C188" s="2">
        <f t="shared" si="6"/>
        <v>2018</v>
      </c>
      <c r="D188">
        <v>160</v>
      </c>
    </row>
    <row r="189" spans="1:4" x14ac:dyDescent="0.25">
      <c r="A189" s="1">
        <v>43318</v>
      </c>
      <c r="B189" s="2">
        <f t="shared" si="5"/>
        <v>32</v>
      </c>
      <c r="C189" s="2">
        <f t="shared" si="6"/>
        <v>2018</v>
      </c>
      <c r="D189">
        <v>195</v>
      </c>
    </row>
    <row r="190" spans="1:4" x14ac:dyDescent="0.25">
      <c r="A190" s="1">
        <v>43325</v>
      </c>
      <c r="B190" s="2">
        <f t="shared" si="5"/>
        <v>33</v>
      </c>
      <c r="C190" s="2">
        <f t="shared" si="6"/>
        <v>2018</v>
      </c>
      <c r="D190">
        <v>177</v>
      </c>
    </row>
    <row r="191" spans="1:4" x14ac:dyDescent="0.25">
      <c r="A191" s="1">
        <v>43332</v>
      </c>
      <c r="B191" s="2">
        <f t="shared" si="5"/>
        <v>34</v>
      </c>
      <c r="C191" s="2">
        <f t="shared" si="6"/>
        <v>2018</v>
      </c>
      <c r="D191">
        <v>144</v>
      </c>
    </row>
    <row r="192" spans="1:4" x14ac:dyDescent="0.25">
      <c r="A192" s="1">
        <v>43339</v>
      </c>
      <c r="B192" s="2">
        <f t="shared" si="5"/>
        <v>35</v>
      </c>
      <c r="C192" s="2">
        <f t="shared" si="6"/>
        <v>2018</v>
      </c>
      <c r="D192">
        <v>140</v>
      </c>
    </row>
    <row r="193" spans="1:4" x14ac:dyDescent="0.25">
      <c r="A193" s="1">
        <v>43346</v>
      </c>
      <c r="B193" s="2">
        <f t="shared" si="5"/>
        <v>36</v>
      </c>
      <c r="C193" s="2">
        <f t="shared" si="6"/>
        <v>2018</v>
      </c>
      <c r="D193">
        <v>171</v>
      </c>
    </row>
    <row r="194" spans="1:4" x14ac:dyDescent="0.25">
      <c r="A194" s="1">
        <v>43353</v>
      </c>
      <c r="B194" s="2">
        <f t="shared" si="5"/>
        <v>37</v>
      </c>
      <c r="C194" s="2">
        <f t="shared" si="6"/>
        <v>2018</v>
      </c>
      <c r="D194">
        <v>142</v>
      </c>
    </row>
    <row r="195" spans="1:4" x14ac:dyDescent="0.25">
      <c r="A195" s="1">
        <v>43360</v>
      </c>
      <c r="B195" s="2">
        <f t="shared" ref="B195:B258" si="7">_xlfn.ISOWEEKNUM(A195)</f>
        <v>38</v>
      </c>
      <c r="C195" s="2">
        <f t="shared" ref="C195:C258" si="8">YEAR(A195)</f>
        <v>2018</v>
      </c>
      <c r="D195">
        <v>161</v>
      </c>
    </row>
    <row r="196" spans="1:4" x14ac:dyDescent="0.25">
      <c r="A196" s="1">
        <v>43367</v>
      </c>
      <c r="B196" s="2">
        <f t="shared" si="7"/>
        <v>39</v>
      </c>
      <c r="C196" s="2">
        <f t="shared" si="8"/>
        <v>2018</v>
      </c>
      <c r="D196">
        <v>146</v>
      </c>
    </row>
    <row r="197" spans="1:4" x14ac:dyDescent="0.25">
      <c r="A197" s="1">
        <v>43374</v>
      </c>
      <c r="B197" s="2">
        <f t="shared" si="7"/>
        <v>40</v>
      </c>
      <c r="C197" s="2">
        <f t="shared" si="8"/>
        <v>2018</v>
      </c>
      <c r="D197">
        <v>143</v>
      </c>
    </row>
    <row r="198" spans="1:4" x14ac:dyDescent="0.25">
      <c r="A198" s="1">
        <v>43381</v>
      </c>
      <c r="B198" s="2">
        <f t="shared" si="7"/>
        <v>41</v>
      </c>
      <c r="C198" s="2">
        <f t="shared" si="8"/>
        <v>2018</v>
      </c>
      <c r="D198">
        <v>174</v>
      </c>
    </row>
    <row r="199" spans="1:4" x14ac:dyDescent="0.25">
      <c r="A199" s="1">
        <v>43388</v>
      </c>
      <c r="B199" s="2">
        <f t="shared" si="7"/>
        <v>42</v>
      </c>
      <c r="C199" s="2">
        <f t="shared" si="8"/>
        <v>2018</v>
      </c>
      <c r="D199">
        <v>167</v>
      </c>
    </row>
    <row r="200" spans="1:4" x14ac:dyDescent="0.25">
      <c r="A200" s="1">
        <v>43395</v>
      </c>
      <c r="B200" s="2">
        <f t="shared" si="7"/>
        <v>43</v>
      </c>
      <c r="C200" s="2">
        <f t="shared" si="8"/>
        <v>2018</v>
      </c>
      <c r="D200">
        <v>157</v>
      </c>
    </row>
    <row r="201" spans="1:4" x14ac:dyDescent="0.25">
      <c r="A201" s="1">
        <v>43402</v>
      </c>
      <c r="B201" s="2">
        <f t="shared" si="7"/>
        <v>44</v>
      </c>
      <c r="C201" s="2">
        <f t="shared" si="8"/>
        <v>2018</v>
      </c>
      <c r="D201">
        <v>149</v>
      </c>
    </row>
    <row r="202" spans="1:4" x14ac:dyDescent="0.25">
      <c r="A202" s="1">
        <v>43409</v>
      </c>
      <c r="B202" s="2">
        <f t="shared" si="7"/>
        <v>45</v>
      </c>
      <c r="C202" s="2">
        <f t="shared" si="8"/>
        <v>2018</v>
      </c>
      <c r="D202">
        <v>161</v>
      </c>
    </row>
    <row r="203" spans="1:4" x14ac:dyDescent="0.25">
      <c r="A203" s="1">
        <v>43416</v>
      </c>
      <c r="B203" s="2">
        <f t="shared" si="7"/>
        <v>46</v>
      </c>
      <c r="C203" s="2">
        <f t="shared" si="8"/>
        <v>2018</v>
      </c>
      <c r="D203">
        <v>176</v>
      </c>
    </row>
    <row r="204" spans="1:4" x14ac:dyDescent="0.25">
      <c r="A204" s="1">
        <v>43423</v>
      </c>
      <c r="B204" s="2">
        <f t="shared" si="7"/>
        <v>47</v>
      </c>
      <c r="C204" s="2">
        <f t="shared" si="8"/>
        <v>2018</v>
      </c>
      <c r="D204">
        <v>153</v>
      </c>
    </row>
    <row r="205" spans="1:4" x14ac:dyDescent="0.25">
      <c r="A205" s="1">
        <v>43430</v>
      </c>
      <c r="B205" s="2">
        <f t="shared" si="7"/>
        <v>48</v>
      </c>
      <c r="C205" s="2">
        <f t="shared" si="8"/>
        <v>2018</v>
      </c>
      <c r="D205">
        <v>186</v>
      </c>
    </row>
    <row r="206" spans="1:4" x14ac:dyDescent="0.25">
      <c r="A206" s="1">
        <v>43437</v>
      </c>
      <c r="B206" s="2">
        <f t="shared" si="7"/>
        <v>49</v>
      </c>
      <c r="C206" s="2">
        <f t="shared" si="8"/>
        <v>2018</v>
      </c>
      <c r="D206">
        <v>190</v>
      </c>
    </row>
    <row r="207" spans="1:4" x14ac:dyDescent="0.25">
      <c r="A207" s="1">
        <v>43444</v>
      </c>
      <c r="B207" s="2">
        <f t="shared" si="7"/>
        <v>50</v>
      </c>
      <c r="C207" s="2">
        <f t="shared" si="8"/>
        <v>2018</v>
      </c>
      <c r="D207">
        <v>196</v>
      </c>
    </row>
    <row r="208" spans="1:4" x14ac:dyDescent="0.25">
      <c r="A208" s="1">
        <v>43451</v>
      </c>
      <c r="B208" s="2">
        <f t="shared" si="7"/>
        <v>51</v>
      </c>
      <c r="C208" s="2">
        <f t="shared" si="8"/>
        <v>2018</v>
      </c>
      <c r="D208">
        <v>175</v>
      </c>
    </row>
    <row r="209" spans="1:4" x14ac:dyDescent="0.25">
      <c r="A209" s="1">
        <v>43458</v>
      </c>
      <c r="B209" s="2">
        <f t="shared" si="7"/>
        <v>52</v>
      </c>
      <c r="C209" s="2">
        <f t="shared" si="8"/>
        <v>2018</v>
      </c>
      <c r="D209">
        <v>161</v>
      </c>
    </row>
    <row r="210" spans="1:4" x14ac:dyDescent="0.25">
      <c r="A210" s="1">
        <v>43465</v>
      </c>
      <c r="B210" s="2">
        <f t="shared" si="7"/>
        <v>1</v>
      </c>
      <c r="C210" s="2">
        <f t="shared" si="8"/>
        <v>2018</v>
      </c>
      <c r="D210">
        <v>187</v>
      </c>
    </row>
    <row r="211" spans="1:4" x14ac:dyDescent="0.25">
      <c r="A211" s="1">
        <v>43472</v>
      </c>
      <c r="B211" s="2">
        <f t="shared" si="7"/>
        <v>2</v>
      </c>
      <c r="C211" s="2">
        <f t="shared" si="8"/>
        <v>2019</v>
      </c>
      <c r="D211">
        <v>195</v>
      </c>
    </row>
    <row r="212" spans="1:4" x14ac:dyDescent="0.25">
      <c r="A212" s="1">
        <v>43479</v>
      </c>
      <c r="B212" s="2">
        <f t="shared" si="7"/>
        <v>3</v>
      </c>
      <c r="C212" s="2">
        <f t="shared" si="8"/>
        <v>2019</v>
      </c>
      <c r="D212">
        <v>203</v>
      </c>
    </row>
    <row r="213" spans="1:4" x14ac:dyDescent="0.25">
      <c r="A213" s="1">
        <v>43486</v>
      </c>
      <c r="B213" s="2">
        <f t="shared" si="7"/>
        <v>4</v>
      </c>
      <c r="C213" s="2">
        <f t="shared" si="8"/>
        <v>2019</v>
      </c>
      <c r="D213">
        <v>202</v>
      </c>
    </row>
    <row r="214" spans="1:4" x14ac:dyDescent="0.25">
      <c r="A214" s="1">
        <v>43493</v>
      </c>
      <c r="B214" s="2">
        <f t="shared" si="7"/>
        <v>5</v>
      </c>
      <c r="C214" s="2">
        <f t="shared" si="8"/>
        <v>2019</v>
      </c>
      <c r="D214">
        <v>192</v>
      </c>
    </row>
    <row r="215" spans="1:4" x14ac:dyDescent="0.25">
      <c r="A215" s="1">
        <v>43500</v>
      </c>
      <c r="B215" s="2">
        <f t="shared" si="7"/>
        <v>6</v>
      </c>
      <c r="C215" s="2">
        <f t="shared" si="8"/>
        <v>2019</v>
      </c>
      <c r="D215">
        <v>195</v>
      </c>
    </row>
    <row r="216" spans="1:4" x14ac:dyDescent="0.25">
      <c r="A216" s="1">
        <v>43507</v>
      </c>
      <c r="B216" s="2">
        <f t="shared" si="7"/>
        <v>7</v>
      </c>
      <c r="C216" s="2">
        <f t="shared" si="8"/>
        <v>2019</v>
      </c>
      <c r="D216">
        <v>190</v>
      </c>
    </row>
    <row r="217" spans="1:4" x14ac:dyDescent="0.25">
      <c r="A217" s="1">
        <v>43514</v>
      </c>
      <c r="B217" s="2">
        <f t="shared" si="7"/>
        <v>8</v>
      </c>
      <c r="C217" s="2">
        <f t="shared" si="8"/>
        <v>2019</v>
      </c>
      <c r="D217">
        <v>202</v>
      </c>
    </row>
    <row r="218" spans="1:4" x14ac:dyDescent="0.25">
      <c r="A218" s="1">
        <v>43521</v>
      </c>
      <c r="B218" s="2">
        <f t="shared" si="7"/>
        <v>9</v>
      </c>
      <c r="C218" s="2">
        <f t="shared" si="8"/>
        <v>2019</v>
      </c>
      <c r="D218">
        <v>202</v>
      </c>
    </row>
    <row r="219" spans="1:4" x14ac:dyDescent="0.25">
      <c r="A219" s="1">
        <v>43528</v>
      </c>
      <c r="B219" s="2">
        <f t="shared" si="7"/>
        <v>10</v>
      </c>
      <c r="C219" s="2">
        <f t="shared" si="8"/>
        <v>2019</v>
      </c>
      <c r="D219">
        <v>187</v>
      </c>
    </row>
    <row r="220" spans="1:4" x14ac:dyDescent="0.25">
      <c r="A220" s="1">
        <v>43535</v>
      </c>
      <c r="B220" s="2">
        <f t="shared" si="7"/>
        <v>11</v>
      </c>
      <c r="C220" s="2">
        <f t="shared" si="8"/>
        <v>2019</v>
      </c>
      <c r="D220">
        <v>168</v>
      </c>
    </row>
    <row r="221" spans="1:4" x14ac:dyDescent="0.25">
      <c r="A221" s="1">
        <v>43542</v>
      </c>
      <c r="B221" s="2">
        <f t="shared" si="7"/>
        <v>12</v>
      </c>
      <c r="C221" s="2">
        <f t="shared" si="8"/>
        <v>2019</v>
      </c>
      <c r="D221">
        <v>163</v>
      </c>
    </row>
    <row r="222" spans="1:4" x14ac:dyDescent="0.25">
      <c r="A222" s="1">
        <v>43549</v>
      </c>
      <c r="B222" s="2">
        <f t="shared" si="7"/>
        <v>13</v>
      </c>
      <c r="C222" s="2">
        <f t="shared" si="8"/>
        <v>2019</v>
      </c>
      <c r="D222">
        <v>179</v>
      </c>
    </row>
    <row r="223" spans="1:4" x14ac:dyDescent="0.25">
      <c r="A223" s="1">
        <v>43556</v>
      </c>
      <c r="B223" s="2">
        <f t="shared" si="7"/>
        <v>14</v>
      </c>
      <c r="C223" s="2">
        <f t="shared" si="8"/>
        <v>2019</v>
      </c>
      <c r="D223">
        <v>138</v>
      </c>
    </row>
    <row r="224" spans="1:4" x14ac:dyDescent="0.25">
      <c r="A224" s="1">
        <v>43563</v>
      </c>
      <c r="B224" s="2">
        <f t="shared" si="7"/>
        <v>15</v>
      </c>
      <c r="C224" s="2">
        <f t="shared" si="8"/>
        <v>2019</v>
      </c>
      <c r="D224">
        <v>174</v>
      </c>
    </row>
    <row r="225" spans="1:4" x14ac:dyDescent="0.25">
      <c r="A225" s="1">
        <v>43570</v>
      </c>
      <c r="B225" s="2">
        <f t="shared" si="7"/>
        <v>16</v>
      </c>
      <c r="C225" s="2">
        <f t="shared" si="8"/>
        <v>2019</v>
      </c>
      <c r="D225">
        <v>193</v>
      </c>
    </row>
    <row r="226" spans="1:4" x14ac:dyDescent="0.25">
      <c r="A226" s="1">
        <v>43577</v>
      </c>
      <c r="B226" s="2">
        <f t="shared" si="7"/>
        <v>17</v>
      </c>
      <c r="C226" s="2">
        <f t="shared" si="8"/>
        <v>2019</v>
      </c>
      <c r="D226">
        <v>169</v>
      </c>
    </row>
    <row r="227" spans="1:4" x14ac:dyDescent="0.25">
      <c r="A227" s="1">
        <v>43584</v>
      </c>
      <c r="B227" s="2">
        <f t="shared" si="7"/>
        <v>18</v>
      </c>
      <c r="C227" s="2">
        <f t="shared" si="8"/>
        <v>2019</v>
      </c>
      <c r="D227">
        <v>146</v>
      </c>
    </row>
    <row r="228" spans="1:4" x14ac:dyDescent="0.25">
      <c r="A228" s="1">
        <v>43591</v>
      </c>
      <c r="B228" s="2">
        <f t="shared" si="7"/>
        <v>19</v>
      </c>
      <c r="C228" s="2">
        <f t="shared" si="8"/>
        <v>2019</v>
      </c>
      <c r="D228">
        <v>165</v>
      </c>
    </row>
    <row r="229" spans="1:4" x14ac:dyDescent="0.25">
      <c r="A229" s="1">
        <v>43598</v>
      </c>
      <c r="B229" s="2">
        <f t="shared" si="7"/>
        <v>20</v>
      </c>
      <c r="C229" s="2">
        <f t="shared" si="8"/>
        <v>2019</v>
      </c>
      <c r="D229">
        <v>171</v>
      </c>
    </row>
    <row r="230" spans="1:4" x14ac:dyDescent="0.25">
      <c r="A230" s="1">
        <v>43605</v>
      </c>
      <c r="B230" s="2">
        <f t="shared" si="7"/>
        <v>21</v>
      </c>
      <c r="C230" s="2">
        <f t="shared" si="8"/>
        <v>2019</v>
      </c>
      <c r="D230">
        <v>158</v>
      </c>
    </row>
    <row r="231" spans="1:4" x14ac:dyDescent="0.25">
      <c r="A231" s="1">
        <v>43612</v>
      </c>
      <c r="B231" s="2">
        <f t="shared" si="7"/>
        <v>22</v>
      </c>
      <c r="C231" s="2">
        <f t="shared" si="8"/>
        <v>2019</v>
      </c>
      <c r="D231">
        <v>171</v>
      </c>
    </row>
    <row r="232" spans="1:4" x14ac:dyDescent="0.25">
      <c r="A232" s="1">
        <v>43619</v>
      </c>
      <c r="B232" s="2">
        <f t="shared" si="7"/>
        <v>23</v>
      </c>
      <c r="C232" s="2">
        <f t="shared" si="8"/>
        <v>2019</v>
      </c>
      <c r="D232">
        <v>169</v>
      </c>
    </row>
    <row r="233" spans="1:4" x14ac:dyDescent="0.25">
      <c r="A233" s="1">
        <v>43626</v>
      </c>
      <c r="B233" s="2">
        <f t="shared" si="7"/>
        <v>24</v>
      </c>
      <c r="C233" s="2">
        <f t="shared" si="8"/>
        <v>2019</v>
      </c>
      <c r="D233">
        <v>154</v>
      </c>
    </row>
    <row r="234" spans="1:4" x14ac:dyDescent="0.25">
      <c r="A234" s="1">
        <v>43633</v>
      </c>
      <c r="B234" s="2">
        <f t="shared" si="7"/>
        <v>25</v>
      </c>
      <c r="C234" s="2">
        <f t="shared" si="8"/>
        <v>2019</v>
      </c>
      <c r="D234">
        <v>153</v>
      </c>
    </row>
    <row r="235" spans="1:4" x14ac:dyDescent="0.25">
      <c r="A235" s="1">
        <v>43640</v>
      </c>
      <c r="B235" s="2">
        <f t="shared" si="7"/>
        <v>26</v>
      </c>
      <c r="C235" s="2">
        <f t="shared" si="8"/>
        <v>2019</v>
      </c>
      <c r="D235">
        <v>184</v>
      </c>
    </row>
    <row r="236" spans="1:4" x14ac:dyDescent="0.25">
      <c r="A236" s="1">
        <v>43647</v>
      </c>
      <c r="B236" s="2">
        <f t="shared" si="7"/>
        <v>27</v>
      </c>
      <c r="C236" s="2">
        <f t="shared" si="8"/>
        <v>2019</v>
      </c>
      <c r="D236">
        <v>163</v>
      </c>
    </row>
    <row r="237" spans="1:4" x14ac:dyDescent="0.25">
      <c r="A237" s="1">
        <v>43654</v>
      </c>
      <c r="B237" s="2">
        <f t="shared" si="7"/>
        <v>28</v>
      </c>
      <c r="C237" s="2">
        <f t="shared" si="8"/>
        <v>2019</v>
      </c>
      <c r="D237">
        <v>147</v>
      </c>
    </row>
    <row r="238" spans="1:4" x14ac:dyDescent="0.25">
      <c r="A238" s="1">
        <v>43661</v>
      </c>
      <c r="B238" s="2">
        <f t="shared" si="7"/>
        <v>29</v>
      </c>
      <c r="C238" s="2">
        <f t="shared" si="8"/>
        <v>2019</v>
      </c>
      <c r="D238">
        <v>152</v>
      </c>
    </row>
    <row r="239" spans="1:4" x14ac:dyDescent="0.25">
      <c r="A239" s="1">
        <v>43668</v>
      </c>
      <c r="B239" s="2">
        <f t="shared" si="7"/>
        <v>30</v>
      </c>
      <c r="C239" s="2">
        <f t="shared" si="8"/>
        <v>2019</v>
      </c>
      <c r="D239">
        <v>221</v>
      </c>
    </row>
    <row r="240" spans="1:4" x14ac:dyDescent="0.25">
      <c r="A240" s="1">
        <v>43675</v>
      </c>
      <c r="B240" s="2">
        <f t="shared" si="7"/>
        <v>31</v>
      </c>
      <c r="C240" s="2">
        <f t="shared" si="8"/>
        <v>2019</v>
      </c>
      <c r="D240">
        <v>163</v>
      </c>
    </row>
    <row r="241" spans="1:4" x14ac:dyDescent="0.25">
      <c r="A241" s="1">
        <v>43682</v>
      </c>
      <c r="B241" s="2">
        <f t="shared" si="7"/>
        <v>32</v>
      </c>
      <c r="C241" s="2">
        <f t="shared" si="8"/>
        <v>2019</v>
      </c>
      <c r="D241">
        <v>174</v>
      </c>
    </row>
    <row r="242" spans="1:4" x14ac:dyDescent="0.25">
      <c r="A242" s="1">
        <v>43689</v>
      </c>
      <c r="B242" s="2">
        <f t="shared" si="7"/>
        <v>33</v>
      </c>
      <c r="C242" s="2">
        <f t="shared" si="8"/>
        <v>2019</v>
      </c>
      <c r="D242">
        <v>139</v>
      </c>
    </row>
    <row r="243" spans="1:4" x14ac:dyDescent="0.25">
      <c r="A243" s="1">
        <v>43696</v>
      </c>
      <c r="B243" s="2">
        <f t="shared" si="7"/>
        <v>34</v>
      </c>
      <c r="C243" s="2">
        <f t="shared" si="8"/>
        <v>2019</v>
      </c>
      <c r="D243">
        <v>159</v>
      </c>
    </row>
    <row r="244" spans="1:4" x14ac:dyDescent="0.25">
      <c r="A244" s="1">
        <v>43703</v>
      </c>
      <c r="B244" s="2">
        <f t="shared" si="7"/>
        <v>35</v>
      </c>
      <c r="C244" s="2">
        <f t="shared" si="8"/>
        <v>2019</v>
      </c>
      <c r="D244">
        <v>165</v>
      </c>
    </row>
    <row r="245" spans="1:4" x14ac:dyDescent="0.25">
      <c r="A245" s="1">
        <v>43710</v>
      </c>
      <c r="B245" s="2">
        <f t="shared" si="7"/>
        <v>36</v>
      </c>
      <c r="C245" s="2">
        <f t="shared" si="8"/>
        <v>2019</v>
      </c>
      <c r="D245">
        <v>170</v>
      </c>
    </row>
    <row r="246" spans="1:4" x14ac:dyDescent="0.25">
      <c r="A246" s="1">
        <v>43717</v>
      </c>
      <c r="B246" s="2">
        <f t="shared" si="7"/>
        <v>37</v>
      </c>
      <c r="C246" s="2">
        <f t="shared" si="8"/>
        <v>2019</v>
      </c>
      <c r="D246">
        <v>166</v>
      </c>
    </row>
    <row r="247" spans="1:4" x14ac:dyDescent="0.25">
      <c r="A247" s="1">
        <v>43724</v>
      </c>
      <c r="B247" s="2">
        <f t="shared" si="7"/>
        <v>38</v>
      </c>
      <c r="C247" s="2">
        <f t="shared" si="8"/>
        <v>2019</v>
      </c>
      <c r="D247">
        <v>156</v>
      </c>
    </row>
    <row r="248" spans="1:4" x14ac:dyDescent="0.25">
      <c r="A248" s="1">
        <v>43731</v>
      </c>
      <c r="B248" s="2">
        <f t="shared" si="7"/>
        <v>39</v>
      </c>
      <c r="C248" s="2">
        <f t="shared" si="8"/>
        <v>2019</v>
      </c>
      <c r="D248">
        <v>148</v>
      </c>
    </row>
    <row r="249" spans="1:4" x14ac:dyDescent="0.25">
      <c r="A249" s="1">
        <v>43738</v>
      </c>
      <c r="B249" s="2">
        <f t="shared" si="7"/>
        <v>40</v>
      </c>
      <c r="C249" s="2">
        <f t="shared" si="8"/>
        <v>2019</v>
      </c>
      <c r="D249">
        <v>186</v>
      </c>
    </row>
    <row r="250" spans="1:4" x14ac:dyDescent="0.25">
      <c r="A250" s="1">
        <v>43745</v>
      </c>
      <c r="B250" s="2">
        <f t="shared" si="7"/>
        <v>41</v>
      </c>
      <c r="C250" s="2">
        <f t="shared" si="8"/>
        <v>2019</v>
      </c>
      <c r="D250">
        <v>141</v>
      </c>
    </row>
    <row r="251" spans="1:4" x14ac:dyDescent="0.25">
      <c r="A251" s="1">
        <v>43752</v>
      </c>
      <c r="B251" s="2">
        <f t="shared" si="7"/>
        <v>42</v>
      </c>
      <c r="C251" s="2">
        <f t="shared" si="8"/>
        <v>2019</v>
      </c>
      <c r="D251">
        <v>152</v>
      </c>
    </row>
    <row r="252" spans="1:4" x14ac:dyDescent="0.25">
      <c r="A252" s="1">
        <v>43759</v>
      </c>
      <c r="B252" s="2">
        <f t="shared" si="7"/>
        <v>43</v>
      </c>
      <c r="C252" s="2">
        <f t="shared" si="8"/>
        <v>2019</v>
      </c>
      <c r="D252">
        <v>182</v>
      </c>
    </row>
    <row r="253" spans="1:4" x14ac:dyDescent="0.25">
      <c r="A253" s="1">
        <v>43766</v>
      </c>
      <c r="B253" s="2">
        <f t="shared" si="7"/>
        <v>44</v>
      </c>
      <c r="C253" s="2">
        <f t="shared" si="8"/>
        <v>2019</v>
      </c>
      <c r="D253">
        <v>167</v>
      </c>
    </row>
    <row r="254" spans="1:4" x14ac:dyDescent="0.25">
      <c r="A254" s="1">
        <v>43773</v>
      </c>
      <c r="B254" s="2">
        <f t="shared" si="7"/>
        <v>45</v>
      </c>
      <c r="C254" s="2">
        <f t="shared" si="8"/>
        <v>2019</v>
      </c>
      <c r="D254">
        <v>164</v>
      </c>
    </row>
    <row r="255" spans="1:4" x14ac:dyDescent="0.25">
      <c r="A255" s="1">
        <v>43780</v>
      </c>
      <c r="B255" s="2">
        <f t="shared" si="7"/>
        <v>46</v>
      </c>
      <c r="C255" s="2">
        <f t="shared" si="8"/>
        <v>2019</v>
      </c>
      <c r="D255">
        <v>150</v>
      </c>
    </row>
    <row r="256" spans="1:4" x14ac:dyDescent="0.25">
      <c r="A256" s="1">
        <v>43787</v>
      </c>
      <c r="B256" s="2">
        <f t="shared" si="7"/>
        <v>47</v>
      </c>
      <c r="C256" s="2">
        <f t="shared" si="8"/>
        <v>2019</v>
      </c>
      <c r="D256">
        <v>179</v>
      </c>
    </row>
    <row r="257" spans="1:4" x14ac:dyDescent="0.25">
      <c r="A257" s="1">
        <v>43794</v>
      </c>
      <c r="B257" s="2">
        <f t="shared" si="7"/>
        <v>48</v>
      </c>
      <c r="C257" s="2">
        <f t="shared" si="8"/>
        <v>2019</v>
      </c>
      <c r="D257">
        <v>152</v>
      </c>
    </row>
    <row r="258" spans="1:4" x14ac:dyDescent="0.25">
      <c r="A258" s="1">
        <v>43801</v>
      </c>
      <c r="B258" s="2">
        <f t="shared" si="7"/>
        <v>49</v>
      </c>
      <c r="C258" s="2">
        <f t="shared" si="8"/>
        <v>2019</v>
      </c>
      <c r="D258">
        <v>150</v>
      </c>
    </row>
    <row r="259" spans="1:4" x14ac:dyDescent="0.25">
      <c r="A259" s="1">
        <v>43808</v>
      </c>
      <c r="B259" s="2">
        <f t="shared" ref="B259:B322" si="9">_xlfn.ISOWEEKNUM(A259)</f>
        <v>50</v>
      </c>
      <c r="C259" s="2">
        <f t="shared" ref="C259:C322" si="10">YEAR(A259)</f>
        <v>2019</v>
      </c>
      <c r="D259">
        <v>176</v>
      </c>
    </row>
    <row r="260" spans="1:4" x14ac:dyDescent="0.25">
      <c r="A260" s="1">
        <v>43815</v>
      </c>
      <c r="B260" s="2">
        <f t="shared" si="9"/>
        <v>51</v>
      </c>
      <c r="C260" s="2">
        <f t="shared" si="10"/>
        <v>2019</v>
      </c>
      <c r="D260">
        <v>189</v>
      </c>
    </row>
    <row r="261" spans="1:4" x14ac:dyDescent="0.25">
      <c r="A261" s="1">
        <v>43822</v>
      </c>
      <c r="B261" s="2">
        <f t="shared" si="9"/>
        <v>52</v>
      </c>
      <c r="C261" s="2">
        <f t="shared" si="10"/>
        <v>2019</v>
      </c>
      <c r="D261">
        <v>166</v>
      </c>
    </row>
    <row r="262" spans="1:4" x14ac:dyDescent="0.25">
      <c r="A262" s="1">
        <v>43829</v>
      </c>
      <c r="B262" s="2">
        <f t="shared" si="9"/>
        <v>1</v>
      </c>
      <c r="C262" s="2">
        <f t="shared" si="10"/>
        <v>2019</v>
      </c>
      <c r="D262">
        <v>180</v>
      </c>
    </row>
    <row r="263" spans="1:4" x14ac:dyDescent="0.25">
      <c r="A263" s="1">
        <v>43836</v>
      </c>
      <c r="B263" s="2">
        <f t="shared" si="9"/>
        <v>2</v>
      </c>
      <c r="C263" s="2">
        <f t="shared" si="10"/>
        <v>2020</v>
      </c>
      <c r="D263">
        <v>185</v>
      </c>
    </row>
    <row r="264" spans="1:4" x14ac:dyDescent="0.25">
      <c r="A264" s="1">
        <v>43843</v>
      </c>
      <c r="B264" s="2">
        <f t="shared" si="9"/>
        <v>3</v>
      </c>
      <c r="C264" s="2">
        <f t="shared" si="10"/>
        <v>2020</v>
      </c>
      <c r="D264">
        <v>168</v>
      </c>
    </row>
    <row r="265" spans="1:4" x14ac:dyDescent="0.25">
      <c r="A265" s="1">
        <v>43850</v>
      </c>
      <c r="B265" s="2">
        <f t="shared" si="9"/>
        <v>4</v>
      </c>
      <c r="C265" s="2">
        <f t="shared" si="10"/>
        <v>2020</v>
      </c>
      <c r="D265">
        <v>177</v>
      </c>
    </row>
    <row r="266" spans="1:4" x14ac:dyDescent="0.25">
      <c r="A266" s="1">
        <v>43857</v>
      </c>
      <c r="B266" s="2">
        <f t="shared" si="9"/>
        <v>5</v>
      </c>
      <c r="C266" s="2">
        <f t="shared" si="10"/>
        <v>2020</v>
      </c>
      <c r="D266">
        <v>194</v>
      </c>
    </row>
    <row r="267" spans="1:4" x14ac:dyDescent="0.25">
      <c r="A267" s="1">
        <v>43864</v>
      </c>
      <c r="B267" s="2">
        <f t="shared" si="9"/>
        <v>6</v>
      </c>
      <c r="C267" s="2">
        <f t="shared" si="10"/>
        <v>2020</v>
      </c>
      <c r="D267">
        <v>188</v>
      </c>
    </row>
    <row r="268" spans="1:4" x14ac:dyDescent="0.25">
      <c r="A268" s="1">
        <v>43871</v>
      </c>
      <c r="B268" s="2">
        <f t="shared" si="9"/>
        <v>7</v>
      </c>
      <c r="C268" s="2">
        <f t="shared" si="10"/>
        <v>2020</v>
      </c>
      <c r="D268">
        <v>193</v>
      </c>
    </row>
    <row r="269" spans="1:4" x14ac:dyDescent="0.25">
      <c r="A269" s="1">
        <v>43878</v>
      </c>
      <c r="B269" s="2">
        <f t="shared" si="9"/>
        <v>8</v>
      </c>
      <c r="C269" s="2">
        <f t="shared" si="10"/>
        <v>2020</v>
      </c>
      <c r="D269">
        <v>191</v>
      </c>
    </row>
    <row r="270" spans="1:4" x14ac:dyDescent="0.25">
      <c r="A270" s="1">
        <v>43885</v>
      </c>
      <c r="B270" s="2">
        <f t="shared" si="9"/>
        <v>9</v>
      </c>
      <c r="C270" s="2">
        <f t="shared" si="10"/>
        <v>2020</v>
      </c>
      <c r="D270">
        <v>190</v>
      </c>
    </row>
    <row r="271" spans="1:4" x14ac:dyDescent="0.25">
      <c r="A271" s="1">
        <v>43892</v>
      </c>
      <c r="B271" s="2">
        <f t="shared" si="9"/>
        <v>10</v>
      </c>
      <c r="C271" s="2">
        <f t="shared" si="10"/>
        <v>2020</v>
      </c>
      <c r="D271">
        <v>190</v>
      </c>
    </row>
    <row r="272" spans="1:4" x14ac:dyDescent="0.25">
      <c r="A272" s="1">
        <v>43899</v>
      </c>
      <c r="B272" s="2">
        <f t="shared" si="9"/>
        <v>11</v>
      </c>
      <c r="C272" s="2">
        <f t="shared" si="10"/>
        <v>2020</v>
      </c>
      <c r="D272">
        <v>193</v>
      </c>
    </row>
    <row r="273" spans="1:4" x14ac:dyDescent="0.25">
      <c r="A273" s="1">
        <v>43906</v>
      </c>
      <c r="B273" s="2">
        <f t="shared" si="9"/>
        <v>12</v>
      </c>
      <c r="C273" s="2">
        <f t="shared" si="10"/>
        <v>2020</v>
      </c>
      <c r="D273">
        <v>254</v>
      </c>
    </row>
    <row r="274" spans="1:4" x14ac:dyDescent="0.25">
      <c r="A274" s="1">
        <v>43913</v>
      </c>
      <c r="B274" s="2">
        <f t="shared" si="9"/>
        <v>13</v>
      </c>
      <c r="C274" s="2">
        <f t="shared" si="10"/>
        <v>2020</v>
      </c>
      <c r="D274">
        <v>331</v>
      </c>
    </row>
    <row r="275" spans="1:4" x14ac:dyDescent="0.25">
      <c r="A275" s="1">
        <v>43920</v>
      </c>
      <c r="B275" s="2">
        <f t="shared" si="9"/>
        <v>14</v>
      </c>
      <c r="C275" s="2">
        <f t="shared" si="10"/>
        <v>2020</v>
      </c>
      <c r="D275">
        <v>482</v>
      </c>
    </row>
    <row r="276" spans="1:4" x14ac:dyDescent="0.25">
      <c r="A276" s="1">
        <v>43927</v>
      </c>
      <c r="B276" s="2">
        <f t="shared" si="9"/>
        <v>15</v>
      </c>
      <c r="C276" s="2">
        <f t="shared" si="10"/>
        <v>2020</v>
      </c>
      <c r="D276">
        <v>515</v>
      </c>
    </row>
    <row r="277" spans="1:4" x14ac:dyDescent="0.25">
      <c r="A277" s="1">
        <v>43934</v>
      </c>
      <c r="B277" s="2">
        <f t="shared" si="9"/>
        <v>16</v>
      </c>
      <c r="C277" s="2">
        <f t="shared" si="10"/>
        <v>2020</v>
      </c>
      <c r="D277">
        <v>373</v>
      </c>
    </row>
    <row r="278" spans="1:4" x14ac:dyDescent="0.25">
      <c r="A278" s="1">
        <v>43941</v>
      </c>
      <c r="B278" s="2">
        <f t="shared" si="9"/>
        <v>17</v>
      </c>
      <c r="C278" s="2">
        <f t="shared" si="10"/>
        <v>2020</v>
      </c>
      <c r="D278">
        <v>309</v>
      </c>
    </row>
    <row r="279" spans="1:4" x14ac:dyDescent="0.25">
      <c r="A279" s="1">
        <v>43948</v>
      </c>
      <c r="B279" s="2">
        <f t="shared" si="9"/>
        <v>18</v>
      </c>
      <c r="C279" s="2">
        <f t="shared" si="10"/>
        <v>2020</v>
      </c>
      <c r="D279">
        <v>235</v>
      </c>
    </row>
    <row r="280" spans="1:4" x14ac:dyDescent="0.25">
      <c r="A280" s="1">
        <v>43955</v>
      </c>
      <c r="B280" s="2">
        <f t="shared" si="9"/>
        <v>19</v>
      </c>
      <c r="C280" s="2">
        <f t="shared" si="10"/>
        <v>2020</v>
      </c>
      <c r="D280">
        <v>192</v>
      </c>
    </row>
    <row r="281" spans="1:4" x14ac:dyDescent="0.25">
      <c r="A281" s="1">
        <v>43962</v>
      </c>
      <c r="B281" s="2">
        <f t="shared" si="9"/>
        <v>20</v>
      </c>
      <c r="C281" s="2">
        <f t="shared" si="10"/>
        <v>2020</v>
      </c>
      <c r="D281">
        <v>175</v>
      </c>
    </row>
    <row r="282" spans="1:4" x14ac:dyDescent="0.25">
      <c r="A282" s="1">
        <v>43969</v>
      </c>
      <c r="B282" s="2">
        <f t="shared" si="9"/>
        <v>21</v>
      </c>
      <c r="C282" s="2">
        <f t="shared" si="10"/>
        <v>2020</v>
      </c>
      <c r="D282">
        <v>169</v>
      </c>
    </row>
    <row r="283" spans="1:4" x14ac:dyDescent="0.25">
      <c r="A283" s="1">
        <v>43976</v>
      </c>
      <c r="B283" s="2">
        <f t="shared" si="9"/>
        <v>22</v>
      </c>
      <c r="C283" s="2">
        <f t="shared" si="10"/>
        <v>2020</v>
      </c>
      <c r="D283">
        <v>148</v>
      </c>
    </row>
    <row r="284" spans="1:4" x14ac:dyDescent="0.25">
      <c r="A284" s="1">
        <v>43983</v>
      </c>
      <c r="B284" s="2">
        <f t="shared" si="9"/>
        <v>23</v>
      </c>
      <c r="C284" s="2">
        <f t="shared" si="10"/>
        <v>2020</v>
      </c>
      <c r="D284">
        <v>147</v>
      </c>
    </row>
    <row r="285" spans="1:4" x14ac:dyDescent="0.25">
      <c r="A285" s="1">
        <v>43990</v>
      </c>
      <c r="B285" s="2">
        <f t="shared" si="9"/>
        <v>24</v>
      </c>
      <c r="C285" s="2">
        <f t="shared" si="10"/>
        <v>2020</v>
      </c>
      <c r="D285">
        <v>143</v>
      </c>
    </row>
    <row r="286" spans="1:4" x14ac:dyDescent="0.25">
      <c r="A286" s="1">
        <v>43997</v>
      </c>
      <c r="B286" s="2">
        <f t="shared" si="9"/>
        <v>25</v>
      </c>
      <c r="C286" s="2">
        <f t="shared" si="10"/>
        <v>2020</v>
      </c>
      <c r="D286">
        <v>149</v>
      </c>
    </row>
    <row r="287" spans="1:4" x14ac:dyDescent="0.25">
      <c r="A287" s="1">
        <v>44004</v>
      </c>
      <c r="B287" s="2">
        <f t="shared" si="9"/>
        <v>26</v>
      </c>
      <c r="C287" s="2">
        <f t="shared" si="10"/>
        <v>2020</v>
      </c>
      <c r="D287">
        <v>161</v>
      </c>
    </row>
    <row r="288" spans="1:4" x14ac:dyDescent="0.25">
      <c r="A288" s="1">
        <v>44011</v>
      </c>
      <c r="B288" s="2">
        <f t="shared" si="9"/>
        <v>27</v>
      </c>
      <c r="C288" s="2">
        <f t="shared" si="10"/>
        <v>2020</v>
      </c>
      <c r="D288">
        <v>141</v>
      </c>
    </row>
    <row r="289" spans="1:4" x14ac:dyDescent="0.25">
      <c r="A289" s="1">
        <v>44018</v>
      </c>
      <c r="B289" s="2">
        <f t="shared" si="9"/>
        <v>28</v>
      </c>
      <c r="C289" s="2">
        <f t="shared" si="10"/>
        <v>2020</v>
      </c>
      <c r="D289">
        <v>126</v>
      </c>
    </row>
    <row r="290" spans="1:4" x14ac:dyDescent="0.25">
      <c r="A290" s="1">
        <v>44025</v>
      </c>
      <c r="B290" s="2">
        <f t="shared" si="9"/>
        <v>29</v>
      </c>
      <c r="C290" s="2">
        <f t="shared" si="10"/>
        <v>2020</v>
      </c>
      <c r="D290">
        <v>140</v>
      </c>
    </row>
    <row r="291" spans="1:4" x14ac:dyDescent="0.25">
      <c r="A291" s="1">
        <v>44032</v>
      </c>
      <c r="B291" s="2">
        <f t="shared" si="9"/>
        <v>30</v>
      </c>
      <c r="C291" s="2">
        <f t="shared" si="10"/>
        <v>2020</v>
      </c>
      <c r="D291">
        <v>159</v>
      </c>
    </row>
    <row r="292" spans="1:4" x14ac:dyDescent="0.25">
      <c r="A292" s="1">
        <v>44039</v>
      </c>
      <c r="B292" s="2">
        <f t="shared" si="9"/>
        <v>31</v>
      </c>
      <c r="C292" s="2">
        <f t="shared" si="10"/>
        <v>2020</v>
      </c>
      <c r="D292">
        <v>135</v>
      </c>
    </row>
    <row r="293" spans="1:4" x14ac:dyDescent="0.25">
      <c r="A293" s="1">
        <v>44046</v>
      </c>
      <c r="B293" s="2">
        <f t="shared" si="9"/>
        <v>32</v>
      </c>
      <c r="C293" s="2">
        <f t="shared" si="10"/>
        <v>2020</v>
      </c>
      <c r="D293">
        <v>158</v>
      </c>
    </row>
    <row r="294" spans="1:4" x14ac:dyDescent="0.25">
      <c r="A294" s="1">
        <v>44053</v>
      </c>
      <c r="B294" s="2">
        <f t="shared" si="9"/>
        <v>33</v>
      </c>
      <c r="C294" s="2">
        <f t="shared" si="10"/>
        <v>2020</v>
      </c>
      <c r="D294">
        <v>251</v>
      </c>
    </row>
    <row r="295" spans="1:4" x14ac:dyDescent="0.25">
      <c r="A295" s="1">
        <v>44060</v>
      </c>
      <c r="B295" s="2">
        <f t="shared" si="9"/>
        <v>34</v>
      </c>
      <c r="C295" s="2">
        <f t="shared" si="10"/>
        <v>2020</v>
      </c>
      <c r="D295">
        <v>205</v>
      </c>
    </row>
    <row r="296" spans="1:4" x14ac:dyDescent="0.25">
      <c r="A296" s="1">
        <v>44067</v>
      </c>
      <c r="B296" s="2">
        <f t="shared" si="9"/>
        <v>35</v>
      </c>
      <c r="C296" s="2">
        <f t="shared" si="10"/>
        <v>2020</v>
      </c>
      <c r="D296">
        <v>126</v>
      </c>
    </row>
    <row r="297" spans="1:4" x14ac:dyDescent="0.25">
      <c r="A297" s="1">
        <v>44074</v>
      </c>
      <c r="B297" s="2">
        <f t="shared" si="9"/>
        <v>36</v>
      </c>
      <c r="C297" s="2">
        <f t="shared" si="10"/>
        <v>2020</v>
      </c>
      <c r="D297">
        <v>155</v>
      </c>
    </row>
    <row r="298" spans="1:4" x14ac:dyDescent="0.25">
      <c r="A298" s="1">
        <v>44081</v>
      </c>
      <c r="B298" s="2">
        <f t="shared" si="9"/>
        <v>37</v>
      </c>
      <c r="C298" s="2">
        <f t="shared" si="10"/>
        <v>2020</v>
      </c>
      <c r="D298">
        <v>142</v>
      </c>
    </row>
    <row r="299" spans="1:4" x14ac:dyDescent="0.25">
      <c r="A299" s="1">
        <v>44088</v>
      </c>
      <c r="B299" s="2">
        <f t="shared" si="9"/>
        <v>38</v>
      </c>
      <c r="C299" s="2">
        <f t="shared" si="10"/>
        <v>2020</v>
      </c>
      <c r="D299">
        <v>150</v>
      </c>
    </row>
    <row r="300" spans="1:4" x14ac:dyDescent="0.25">
      <c r="A300" s="1">
        <v>44095</v>
      </c>
      <c r="B300" s="2">
        <f t="shared" si="9"/>
        <v>39</v>
      </c>
      <c r="C300" s="2">
        <f t="shared" si="10"/>
        <v>2020</v>
      </c>
      <c r="D300">
        <v>155</v>
      </c>
    </row>
    <row r="301" spans="1:4" x14ac:dyDescent="0.25">
      <c r="A301" s="1">
        <v>44102</v>
      </c>
      <c r="B301" s="2">
        <f t="shared" si="9"/>
        <v>40</v>
      </c>
      <c r="C301" s="2">
        <f t="shared" si="10"/>
        <v>2020</v>
      </c>
      <c r="D301">
        <v>160</v>
      </c>
    </row>
    <row r="302" spans="1:4" x14ac:dyDescent="0.25">
      <c r="A302" s="1">
        <v>44109</v>
      </c>
      <c r="B302" s="2">
        <f t="shared" si="9"/>
        <v>41</v>
      </c>
      <c r="C302" s="2">
        <f t="shared" si="10"/>
        <v>2020</v>
      </c>
      <c r="D302">
        <v>184</v>
      </c>
    </row>
    <row r="303" spans="1:4" x14ac:dyDescent="0.25">
      <c r="A303" s="1">
        <v>44116</v>
      </c>
      <c r="B303" s="2">
        <f t="shared" si="9"/>
        <v>42</v>
      </c>
      <c r="C303" s="2">
        <f t="shared" si="10"/>
        <v>2020</v>
      </c>
      <c r="D303">
        <v>178</v>
      </c>
    </row>
    <row r="304" spans="1:4" x14ac:dyDescent="0.25">
      <c r="A304" s="1">
        <v>44123</v>
      </c>
      <c r="B304" s="2">
        <f t="shared" si="9"/>
        <v>43</v>
      </c>
      <c r="C304" s="2">
        <f t="shared" si="10"/>
        <v>2020</v>
      </c>
      <c r="D304">
        <v>250</v>
      </c>
    </row>
    <row r="305" spans="1:4" x14ac:dyDescent="0.25">
      <c r="A305" s="1">
        <v>44130</v>
      </c>
      <c r="B305" s="2">
        <f t="shared" si="9"/>
        <v>44</v>
      </c>
      <c r="C305" s="2">
        <f t="shared" si="10"/>
        <v>2020</v>
      </c>
      <c r="D305">
        <v>316</v>
      </c>
    </row>
    <row r="306" spans="1:4" x14ac:dyDescent="0.25">
      <c r="A306" s="1">
        <v>44137</v>
      </c>
      <c r="B306" s="2">
        <f t="shared" si="9"/>
        <v>45</v>
      </c>
      <c r="C306" s="2">
        <f t="shared" si="10"/>
        <v>2020</v>
      </c>
      <c r="D306">
        <v>326</v>
      </c>
    </row>
    <row r="307" spans="1:4" x14ac:dyDescent="0.25">
      <c r="A307" s="1">
        <v>44144</v>
      </c>
      <c r="B307" s="2">
        <f t="shared" si="9"/>
        <v>46</v>
      </c>
      <c r="C307" s="2">
        <f t="shared" si="10"/>
        <v>2020</v>
      </c>
      <c r="D307">
        <v>294</v>
      </c>
    </row>
    <row r="308" spans="1:4" x14ac:dyDescent="0.25">
      <c r="A308" s="1">
        <v>44151</v>
      </c>
      <c r="B308" s="2">
        <f t="shared" si="9"/>
        <v>47</v>
      </c>
      <c r="C308" s="2">
        <f t="shared" si="10"/>
        <v>2020</v>
      </c>
      <c r="D308">
        <v>276</v>
      </c>
    </row>
    <row r="309" spans="1:4" x14ac:dyDescent="0.25">
      <c r="A309" s="1">
        <v>44158</v>
      </c>
      <c r="B309" s="2">
        <f t="shared" si="9"/>
        <v>48</v>
      </c>
      <c r="C309" s="2">
        <f t="shared" si="10"/>
        <v>2020</v>
      </c>
      <c r="D309">
        <v>262</v>
      </c>
    </row>
    <row r="310" spans="1:4" x14ac:dyDescent="0.25">
      <c r="A310" s="1">
        <v>44165</v>
      </c>
      <c r="B310" s="2">
        <f t="shared" si="9"/>
        <v>49</v>
      </c>
      <c r="C310" s="2">
        <f t="shared" si="10"/>
        <v>2020</v>
      </c>
      <c r="D310">
        <v>188</v>
      </c>
    </row>
    <row r="311" spans="1:4" x14ac:dyDescent="0.25">
      <c r="A311" s="1">
        <v>44172</v>
      </c>
      <c r="B311" s="2">
        <f t="shared" si="9"/>
        <v>50</v>
      </c>
      <c r="C311" s="2">
        <f t="shared" si="10"/>
        <v>2020</v>
      </c>
      <c r="D311">
        <v>225</v>
      </c>
    </row>
    <row r="312" spans="1:4" x14ac:dyDescent="0.25">
      <c r="A312" s="1">
        <v>44179</v>
      </c>
      <c r="B312" s="2">
        <f t="shared" si="9"/>
        <v>51</v>
      </c>
      <c r="C312" s="2">
        <f t="shared" si="10"/>
        <v>2020</v>
      </c>
      <c r="D312">
        <v>202</v>
      </c>
    </row>
    <row r="313" spans="1:4" x14ac:dyDescent="0.25">
      <c r="A313" s="1">
        <v>44186</v>
      </c>
      <c r="B313" s="2">
        <f t="shared" si="9"/>
        <v>52</v>
      </c>
      <c r="C313" s="2">
        <f t="shared" si="10"/>
        <v>2020</v>
      </c>
      <c r="D313">
        <v>190</v>
      </c>
    </row>
    <row r="314" spans="1:4" x14ac:dyDescent="0.25">
      <c r="A314" s="1">
        <v>44193</v>
      </c>
      <c r="B314" s="2">
        <f t="shared" si="9"/>
        <v>53</v>
      </c>
      <c r="C314" s="2">
        <f t="shared" si="10"/>
        <v>2020</v>
      </c>
      <c r="D314">
        <v>188</v>
      </c>
    </row>
    <row r="315" spans="1:4" x14ac:dyDescent="0.25">
      <c r="A315" s="1">
        <v>44200</v>
      </c>
      <c r="B315" s="2">
        <f t="shared" si="9"/>
        <v>1</v>
      </c>
      <c r="C315" s="2">
        <f t="shared" si="10"/>
        <v>2021</v>
      </c>
      <c r="D315">
        <v>175</v>
      </c>
    </row>
    <row r="316" spans="1:4" x14ac:dyDescent="0.25">
      <c r="A316" s="1">
        <v>44207</v>
      </c>
      <c r="B316" s="2">
        <f t="shared" si="9"/>
        <v>2</v>
      </c>
      <c r="C316" s="2">
        <f t="shared" si="10"/>
        <v>2021</v>
      </c>
      <c r="D316">
        <v>154</v>
      </c>
    </row>
    <row r="317" spans="1:4" x14ac:dyDescent="0.25">
      <c r="A317" s="1">
        <v>44214</v>
      </c>
      <c r="B317" s="2">
        <f t="shared" si="9"/>
        <v>3</v>
      </c>
      <c r="C317" s="2">
        <f t="shared" si="10"/>
        <v>2021</v>
      </c>
      <c r="D317">
        <v>168</v>
      </c>
    </row>
    <row r="318" spans="1:4" x14ac:dyDescent="0.25">
      <c r="A318" s="1">
        <v>44221</v>
      </c>
      <c r="B318" s="2">
        <f t="shared" si="9"/>
        <v>4</v>
      </c>
      <c r="C318" s="2">
        <f t="shared" si="10"/>
        <v>2021</v>
      </c>
      <c r="D318">
        <v>192</v>
      </c>
    </row>
    <row r="319" spans="1:4" x14ac:dyDescent="0.25">
      <c r="A319" s="1">
        <v>44228</v>
      </c>
      <c r="B319" s="2">
        <f t="shared" si="9"/>
        <v>5</v>
      </c>
      <c r="C319" s="2">
        <f t="shared" si="10"/>
        <v>2021</v>
      </c>
      <c r="D319">
        <v>169</v>
      </c>
    </row>
    <row r="320" spans="1:4" x14ac:dyDescent="0.25">
      <c r="A320" s="1">
        <v>44235</v>
      </c>
      <c r="B320" s="2">
        <f t="shared" si="9"/>
        <v>6</v>
      </c>
      <c r="C320" s="2">
        <f t="shared" si="10"/>
        <v>2021</v>
      </c>
      <c r="D320">
        <v>171</v>
      </c>
    </row>
    <row r="321" spans="1:4" x14ac:dyDescent="0.25">
      <c r="A321" s="1">
        <v>44242</v>
      </c>
      <c r="B321" s="2">
        <f t="shared" si="9"/>
        <v>7</v>
      </c>
      <c r="C321" s="2">
        <f t="shared" si="10"/>
        <v>2021</v>
      </c>
      <c r="D321">
        <v>165</v>
      </c>
    </row>
    <row r="322" spans="1:4" x14ac:dyDescent="0.25">
      <c r="A322" s="1">
        <v>44249</v>
      </c>
      <c r="B322" s="2">
        <f t="shared" si="9"/>
        <v>8</v>
      </c>
      <c r="C322" s="2">
        <f t="shared" si="10"/>
        <v>2021</v>
      </c>
      <c r="D322">
        <v>161</v>
      </c>
    </row>
    <row r="323" spans="1:4" x14ac:dyDescent="0.25">
      <c r="A323" s="1">
        <v>44256</v>
      </c>
      <c r="B323" s="2">
        <f t="shared" ref="B323:B386" si="11">_xlfn.ISOWEEKNUM(A323)</f>
        <v>9</v>
      </c>
      <c r="C323" s="2">
        <f t="shared" ref="C323:C386" si="12">YEAR(A323)</f>
        <v>2021</v>
      </c>
      <c r="D323">
        <v>178</v>
      </c>
    </row>
    <row r="324" spans="1:4" x14ac:dyDescent="0.25">
      <c r="A324" s="1">
        <v>44263</v>
      </c>
      <c r="B324" s="2">
        <f t="shared" si="11"/>
        <v>10</v>
      </c>
      <c r="C324" s="2">
        <f t="shared" si="12"/>
        <v>2021</v>
      </c>
      <c r="D324">
        <v>166</v>
      </c>
    </row>
    <row r="325" spans="1:4" x14ac:dyDescent="0.25">
      <c r="A325" s="1">
        <v>44270</v>
      </c>
      <c r="B325" s="2">
        <f t="shared" si="11"/>
        <v>11</v>
      </c>
      <c r="C325" s="2">
        <f t="shared" si="12"/>
        <v>2021</v>
      </c>
      <c r="D325">
        <v>174</v>
      </c>
    </row>
    <row r="326" spans="1:4" x14ac:dyDescent="0.25">
      <c r="A326" s="1">
        <v>44277</v>
      </c>
      <c r="B326" s="2">
        <f t="shared" si="11"/>
        <v>12</v>
      </c>
      <c r="C326" s="2">
        <f t="shared" si="12"/>
        <v>2021</v>
      </c>
      <c r="D326">
        <v>155</v>
      </c>
    </row>
    <row r="327" spans="1:4" x14ac:dyDescent="0.25">
      <c r="A327" s="1">
        <v>44284</v>
      </c>
      <c r="B327" s="2">
        <f t="shared" si="11"/>
        <v>13</v>
      </c>
      <c r="C327" s="2">
        <f t="shared" si="12"/>
        <v>2021</v>
      </c>
      <c r="D327">
        <v>189</v>
      </c>
    </row>
    <row r="328" spans="1:4" x14ac:dyDescent="0.25">
      <c r="A328" s="1">
        <v>44291</v>
      </c>
      <c r="B328" s="2">
        <f t="shared" si="11"/>
        <v>14</v>
      </c>
      <c r="C328" s="2">
        <f t="shared" si="12"/>
        <v>2021</v>
      </c>
      <c r="D328">
        <v>184</v>
      </c>
    </row>
    <row r="329" spans="1:4" x14ac:dyDescent="0.25">
      <c r="A329" s="1">
        <v>44298</v>
      </c>
      <c r="B329" s="2">
        <f t="shared" si="11"/>
        <v>15</v>
      </c>
      <c r="C329" s="2">
        <f t="shared" si="12"/>
        <v>2021</v>
      </c>
      <c r="D329">
        <v>188</v>
      </c>
    </row>
    <row r="330" spans="1:4" x14ac:dyDescent="0.25">
      <c r="A330" s="1">
        <v>44305</v>
      </c>
      <c r="B330" s="2">
        <f t="shared" si="11"/>
        <v>16</v>
      </c>
      <c r="C330" s="2">
        <f t="shared" si="12"/>
        <v>2021</v>
      </c>
      <c r="D330">
        <v>172</v>
      </c>
    </row>
    <row r="331" spans="1:4" x14ac:dyDescent="0.25">
      <c r="A331" s="1">
        <v>44312</v>
      </c>
      <c r="B331" s="2">
        <f t="shared" si="11"/>
        <v>17</v>
      </c>
      <c r="C331" s="2">
        <f t="shared" si="12"/>
        <v>2021</v>
      </c>
      <c r="D331">
        <v>185</v>
      </c>
    </row>
    <row r="332" spans="1:4" x14ac:dyDescent="0.25">
      <c r="A332" s="1">
        <v>44319</v>
      </c>
      <c r="B332" s="2">
        <f t="shared" si="11"/>
        <v>18</v>
      </c>
      <c r="C332" s="2">
        <f t="shared" si="12"/>
        <v>2021</v>
      </c>
      <c r="D332">
        <v>223</v>
      </c>
    </row>
    <row r="333" spans="1:4" x14ac:dyDescent="0.25">
      <c r="A333" s="1">
        <v>44326</v>
      </c>
      <c r="B333" s="2">
        <f t="shared" si="11"/>
        <v>19</v>
      </c>
      <c r="C333" s="2">
        <f t="shared" si="12"/>
        <v>2021</v>
      </c>
      <c r="D333">
        <v>150</v>
      </c>
    </row>
    <row r="334" spans="1:4" x14ac:dyDescent="0.25">
      <c r="A334" s="1">
        <v>44333</v>
      </c>
      <c r="B334" s="2">
        <f t="shared" si="11"/>
        <v>20</v>
      </c>
      <c r="C334" s="2">
        <f t="shared" si="12"/>
        <v>2021</v>
      </c>
      <c r="D334">
        <v>159</v>
      </c>
    </row>
    <row r="335" spans="1:4" x14ac:dyDescent="0.25">
      <c r="A335" s="1">
        <v>44340</v>
      </c>
      <c r="B335" s="2">
        <f t="shared" si="11"/>
        <v>21</v>
      </c>
      <c r="C335" s="2">
        <f t="shared" si="12"/>
        <v>2021</v>
      </c>
      <c r="D335">
        <v>163</v>
      </c>
    </row>
    <row r="336" spans="1:4" x14ac:dyDescent="0.25">
      <c r="A336" s="1">
        <v>44347</v>
      </c>
      <c r="B336" s="2">
        <f t="shared" si="11"/>
        <v>22</v>
      </c>
      <c r="C336" s="2">
        <f t="shared" si="12"/>
        <v>2021</v>
      </c>
      <c r="D336">
        <v>165</v>
      </c>
    </row>
    <row r="337" spans="1:4" x14ac:dyDescent="0.25">
      <c r="A337" s="1">
        <v>44354</v>
      </c>
      <c r="B337" s="2">
        <f t="shared" si="11"/>
        <v>23</v>
      </c>
      <c r="C337" s="2">
        <f t="shared" si="12"/>
        <v>2021</v>
      </c>
      <c r="D337">
        <v>149</v>
      </c>
    </row>
    <row r="338" spans="1:4" x14ac:dyDescent="0.25">
      <c r="A338" s="1">
        <v>44361</v>
      </c>
      <c r="B338" s="2">
        <f t="shared" si="11"/>
        <v>24</v>
      </c>
      <c r="C338" s="2">
        <f t="shared" si="12"/>
        <v>2021</v>
      </c>
      <c r="D338">
        <v>175</v>
      </c>
    </row>
    <row r="339" spans="1:4" x14ac:dyDescent="0.25">
      <c r="A339" s="1">
        <v>44368</v>
      </c>
      <c r="B339" s="2">
        <f t="shared" si="11"/>
        <v>25</v>
      </c>
      <c r="C339" s="2">
        <f t="shared" si="12"/>
        <v>2021</v>
      </c>
      <c r="D339">
        <v>144</v>
      </c>
    </row>
    <row r="340" spans="1:4" x14ac:dyDescent="0.25">
      <c r="A340" s="1">
        <v>44375</v>
      </c>
      <c r="B340" s="2">
        <f t="shared" si="11"/>
        <v>26</v>
      </c>
      <c r="C340" s="2">
        <f t="shared" si="12"/>
        <v>2021</v>
      </c>
      <c r="D340">
        <v>153</v>
      </c>
    </row>
    <row r="341" spans="1:4" x14ac:dyDescent="0.25">
      <c r="A341" s="1">
        <v>44382</v>
      </c>
      <c r="B341" s="2">
        <f t="shared" si="11"/>
        <v>27</v>
      </c>
      <c r="C341" s="2">
        <f t="shared" si="12"/>
        <v>2021</v>
      </c>
      <c r="D341">
        <v>134</v>
      </c>
    </row>
    <row r="342" spans="1:4" x14ac:dyDescent="0.25">
      <c r="A342" s="1">
        <v>44389</v>
      </c>
      <c r="B342" s="2">
        <f t="shared" si="11"/>
        <v>28</v>
      </c>
      <c r="C342" s="2">
        <f t="shared" si="12"/>
        <v>2021</v>
      </c>
      <c r="D342">
        <v>137</v>
      </c>
    </row>
    <row r="343" spans="1:4" x14ac:dyDescent="0.25">
      <c r="A343" s="1">
        <v>44396</v>
      </c>
      <c r="B343" s="2">
        <f t="shared" si="11"/>
        <v>29</v>
      </c>
      <c r="C343" s="2">
        <f t="shared" si="12"/>
        <v>2021</v>
      </c>
      <c r="D343">
        <v>155</v>
      </c>
    </row>
    <row r="344" spans="1:4" x14ac:dyDescent="0.25">
      <c r="A344" s="1">
        <v>44403</v>
      </c>
      <c r="B344" s="2">
        <f t="shared" si="11"/>
        <v>30</v>
      </c>
      <c r="C344" s="2">
        <f t="shared" si="12"/>
        <v>2021</v>
      </c>
      <c r="D344">
        <v>146</v>
      </c>
    </row>
    <row r="345" spans="1:4" x14ac:dyDescent="0.25">
      <c r="A345" s="1">
        <v>44410</v>
      </c>
      <c r="B345" s="2">
        <f t="shared" si="11"/>
        <v>31</v>
      </c>
      <c r="C345" s="2">
        <f t="shared" si="12"/>
        <v>2021</v>
      </c>
      <c r="D345">
        <v>159</v>
      </c>
    </row>
    <row r="346" spans="1:4" x14ac:dyDescent="0.25">
      <c r="A346" s="1">
        <v>44417</v>
      </c>
      <c r="B346" s="2">
        <f t="shared" si="11"/>
        <v>32</v>
      </c>
      <c r="C346" s="2">
        <f t="shared" si="12"/>
        <v>2021</v>
      </c>
      <c r="D346">
        <v>157</v>
      </c>
    </row>
    <row r="347" spans="1:4" x14ac:dyDescent="0.25">
      <c r="A347" s="1">
        <v>44424</v>
      </c>
      <c r="B347" s="2">
        <f t="shared" si="11"/>
        <v>33</v>
      </c>
      <c r="C347" s="2">
        <f t="shared" si="12"/>
        <v>2021</v>
      </c>
      <c r="D347">
        <v>151</v>
      </c>
    </row>
    <row r="348" spans="1:4" x14ac:dyDescent="0.25">
      <c r="A348" s="1">
        <v>44431</v>
      </c>
      <c r="B348" s="2">
        <f t="shared" si="11"/>
        <v>34</v>
      </c>
      <c r="C348" s="2">
        <f t="shared" si="12"/>
        <v>2021</v>
      </c>
      <c r="D348">
        <v>153</v>
      </c>
    </row>
    <row r="349" spans="1:4" x14ac:dyDescent="0.25">
      <c r="A349" s="1">
        <v>44438</v>
      </c>
      <c r="B349" s="2">
        <f t="shared" si="11"/>
        <v>35</v>
      </c>
      <c r="C349" s="2">
        <f t="shared" si="12"/>
        <v>2021</v>
      </c>
      <c r="D349">
        <v>149</v>
      </c>
    </row>
    <row r="350" spans="1:4" x14ac:dyDescent="0.25">
      <c r="A350" s="1">
        <v>44445</v>
      </c>
      <c r="B350" s="2">
        <f t="shared" si="11"/>
        <v>36</v>
      </c>
      <c r="C350" s="2">
        <f t="shared" si="12"/>
        <v>2021</v>
      </c>
      <c r="D350">
        <v>163</v>
      </c>
    </row>
    <row r="351" spans="1:4" x14ac:dyDescent="0.25">
      <c r="A351" s="1">
        <v>44452</v>
      </c>
      <c r="B351" s="2">
        <f t="shared" si="11"/>
        <v>37</v>
      </c>
      <c r="C351" s="2">
        <f t="shared" si="12"/>
        <v>2021</v>
      </c>
      <c r="D351">
        <v>157</v>
      </c>
    </row>
    <row r="352" spans="1:4" x14ac:dyDescent="0.25">
      <c r="A352" s="1">
        <v>44459</v>
      </c>
      <c r="B352" s="2">
        <f t="shared" si="11"/>
        <v>38</v>
      </c>
      <c r="C352" s="2">
        <f t="shared" si="12"/>
        <v>2021</v>
      </c>
      <c r="D352">
        <v>150</v>
      </c>
    </row>
    <row r="353" spans="1:4" x14ac:dyDescent="0.25">
      <c r="A353" s="1">
        <v>44466</v>
      </c>
      <c r="B353" s="2">
        <f t="shared" si="11"/>
        <v>39</v>
      </c>
      <c r="C353" s="2">
        <f t="shared" si="12"/>
        <v>2021</v>
      </c>
      <c r="D353">
        <v>165</v>
      </c>
    </row>
    <row r="354" spans="1:4" x14ac:dyDescent="0.25">
      <c r="A354" s="1">
        <v>44473</v>
      </c>
      <c r="B354" s="2">
        <f t="shared" si="11"/>
        <v>40</v>
      </c>
      <c r="C354" s="2">
        <f t="shared" si="12"/>
        <v>2021</v>
      </c>
      <c r="D354">
        <v>171</v>
      </c>
    </row>
    <row r="355" spans="1:4" x14ac:dyDescent="0.25">
      <c r="A355" s="1">
        <v>44480</v>
      </c>
      <c r="B355" s="2">
        <f t="shared" si="11"/>
        <v>41</v>
      </c>
      <c r="C355" s="2">
        <f t="shared" si="12"/>
        <v>2021</v>
      </c>
      <c r="D355">
        <v>180</v>
      </c>
    </row>
    <row r="356" spans="1:4" x14ac:dyDescent="0.25">
      <c r="A356" s="1">
        <v>44487</v>
      </c>
      <c r="B356" s="2">
        <f t="shared" si="11"/>
        <v>42</v>
      </c>
      <c r="C356" s="2">
        <f t="shared" si="12"/>
        <v>2021</v>
      </c>
      <c r="D356">
        <v>183</v>
      </c>
    </row>
    <row r="357" spans="1:4" x14ac:dyDescent="0.25">
      <c r="A357" s="1">
        <v>44494</v>
      </c>
      <c r="B357" s="2">
        <f t="shared" si="11"/>
        <v>43</v>
      </c>
      <c r="C357" s="2">
        <f t="shared" si="12"/>
        <v>2021</v>
      </c>
      <c r="D357">
        <v>195</v>
      </c>
    </row>
    <row r="358" spans="1:4" x14ac:dyDescent="0.25">
      <c r="A358" s="1">
        <v>44501</v>
      </c>
      <c r="B358" s="2">
        <f t="shared" si="11"/>
        <v>44</v>
      </c>
      <c r="C358" s="2">
        <f t="shared" si="12"/>
        <v>2021</v>
      </c>
      <c r="D358">
        <v>174</v>
      </c>
    </row>
    <row r="359" spans="1:4" x14ac:dyDescent="0.25">
      <c r="A359" s="1">
        <v>44508</v>
      </c>
      <c r="B359" s="2">
        <f t="shared" si="11"/>
        <v>45</v>
      </c>
      <c r="C359" s="2">
        <f t="shared" si="12"/>
        <v>2021</v>
      </c>
      <c r="D359">
        <v>187</v>
      </c>
    </row>
    <row r="360" spans="1:4" x14ac:dyDescent="0.25">
      <c r="A360" s="1">
        <v>44515</v>
      </c>
      <c r="B360" s="2">
        <f t="shared" si="11"/>
        <v>46</v>
      </c>
      <c r="C360" s="2">
        <f t="shared" si="12"/>
        <v>2021</v>
      </c>
      <c r="D360">
        <v>197</v>
      </c>
    </row>
    <row r="361" spans="1:4" x14ac:dyDescent="0.25">
      <c r="A361" s="1">
        <v>44522</v>
      </c>
      <c r="B361" s="2">
        <f t="shared" si="11"/>
        <v>47</v>
      </c>
      <c r="C361" s="2">
        <f t="shared" si="12"/>
        <v>2021</v>
      </c>
      <c r="D361">
        <v>181</v>
      </c>
    </row>
    <row r="362" spans="1:4" x14ac:dyDescent="0.25">
      <c r="A362" s="1">
        <v>44529</v>
      </c>
      <c r="B362" s="2">
        <f t="shared" si="11"/>
        <v>48</v>
      </c>
      <c r="C362" s="2">
        <f t="shared" si="12"/>
        <v>2021</v>
      </c>
      <c r="D362">
        <v>190</v>
      </c>
    </row>
    <row r="363" spans="1:4" x14ac:dyDescent="0.25">
      <c r="A363" s="1">
        <v>44536</v>
      </c>
      <c r="B363" s="2">
        <f t="shared" si="11"/>
        <v>49</v>
      </c>
      <c r="C363" s="2">
        <f t="shared" si="12"/>
        <v>2021</v>
      </c>
      <c r="D363">
        <v>182</v>
      </c>
    </row>
    <row r="364" spans="1:4" x14ac:dyDescent="0.25">
      <c r="A364" s="1">
        <v>44543</v>
      </c>
      <c r="B364" s="2">
        <f t="shared" si="11"/>
        <v>50</v>
      </c>
      <c r="C364" s="2">
        <f t="shared" si="12"/>
        <v>2021</v>
      </c>
      <c r="D364">
        <v>189</v>
      </c>
    </row>
    <row r="365" spans="1:4" x14ac:dyDescent="0.25">
      <c r="A365" s="1">
        <v>44550</v>
      </c>
      <c r="B365" s="2">
        <f t="shared" si="11"/>
        <v>51</v>
      </c>
      <c r="C365" s="2">
        <f t="shared" si="12"/>
        <v>2021</v>
      </c>
      <c r="D365">
        <v>199</v>
      </c>
    </row>
    <row r="366" spans="1:4" x14ac:dyDescent="0.25">
      <c r="A366" s="1">
        <v>44557</v>
      </c>
      <c r="B366" s="2">
        <f t="shared" si="11"/>
        <v>52</v>
      </c>
      <c r="C366" s="2">
        <f t="shared" si="12"/>
        <v>2021</v>
      </c>
      <c r="D366">
        <v>203</v>
      </c>
    </row>
    <row r="367" spans="1:4" x14ac:dyDescent="0.25">
      <c r="A367" s="1">
        <v>44564</v>
      </c>
      <c r="B367" s="2">
        <f t="shared" si="11"/>
        <v>1</v>
      </c>
      <c r="C367" s="2">
        <f t="shared" si="12"/>
        <v>2022</v>
      </c>
      <c r="D367">
        <v>203</v>
      </c>
    </row>
    <row r="368" spans="1:4" x14ac:dyDescent="0.25">
      <c r="A368" s="1">
        <v>44571</v>
      </c>
      <c r="B368" s="2">
        <f t="shared" si="11"/>
        <v>2</v>
      </c>
      <c r="C368" s="2">
        <f t="shared" si="12"/>
        <v>2022</v>
      </c>
      <c r="D368">
        <v>172</v>
      </c>
    </row>
    <row r="369" spans="1:4" x14ac:dyDescent="0.25">
      <c r="A369" s="1">
        <v>44578</v>
      </c>
      <c r="B369" s="2">
        <f t="shared" si="11"/>
        <v>3</v>
      </c>
      <c r="C369" s="2">
        <f t="shared" si="12"/>
        <v>2022</v>
      </c>
      <c r="D369">
        <v>207</v>
      </c>
    </row>
    <row r="370" spans="1:4" x14ac:dyDescent="0.25">
      <c r="A370" s="1">
        <v>44585</v>
      </c>
      <c r="B370" s="2">
        <f t="shared" si="11"/>
        <v>4</v>
      </c>
      <c r="C370" s="2">
        <f t="shared" si="12"/>
        <v>2022</v>
      </c>
      <c r="D370">
        <v>214</v>
      </c>
    </row>
    <row r="371" spans="1:4" x14ac:dyDescent="0.25">
      <c r="A371" s="1">
        <v>44592</v>
      </c>
      <c r="B371" s="2">
        <f t="shared" si="11"/>
        <v>5</v>
      </c>
      <c r="C371" s="2">
        <f t="shared" si="12"/>
        <v>2022</v>
      </c>
      <c r="D371">
        <v>223</v>
      </c>
    </row>
    <row r="372" spans="1:4" x14ac:dyDescent="0.25">
      <c r="A372" s="1">
        <v>44599</v>
      </c>
      <c r="B372" s="2">
        <f t="shared" si="11"/>
        <v>6</v>
      </c>
      <c r="C372" s="2">
        <f t="shared" si="12"/>
        <v>2022</v>
      </c>
      <c r="D372">
        <v>209</v>
      </c>
    </row>
    <row r="373" spans="1:4" x14ac:dyDescent="0.25">
      <c r="A373" s="1">
        <v>44606</v>
      </c>
      <c r="B373" s="2">
        <f t="shared" si="11"/>
        <v>7</v>
      </c>
      <c r="C373" s="2">
        <f t="shared" si="12"/>
        <v>2022</v>
      </c>
      <c r="D373">
        <v>164</v>
      </c>
    </row>
    <row r="374" spans="1:4" x14ac:dyDescent="0.25">
      <c r="A374" s="1">
        <v>44613</v>
      </c>
      <c r="B374" s="2">
        <f t="shared" si="11"/>
        <v>8</v>
      </c>
      <c r="C374" s="2">
        <f t="shared" si="12"/>
        <v>2022</v>
      </c>
      <c r="D374">
        <v>152</v>
      </c>
    </row>
    <row r="375" spans="1:4" x14ac:dyDescent="0.25">
      <c r="A375" s="1">
        <v>44620</v>
      </c>
      <c r="B375" s="2">
        <f t="shared" si="11"/>
        <v>9</v>
      </c>
      <c r="C375" s="2">
        <f t="shared" si="12"/>
        <v>2022</v>
      </c>
      <c r="D375">
        <v>136</v>
      </c>
    </row>
    <row r="376" spans="1:4" x14ac:dyDescent="0.25">
      <c r="A376" s="1">
        <v>44627</v>
      </c>
      <c r="B376" s="2">
        <f t="shared" si="11"/>
        <v>10</v>
      </c>
      <c r="C376" s="2">
        <f t="shared" si="12"/>
        <v>2022</v>
      </c>
      <c r="D376">
        <v>205</v>
      </c>
    </row>
    <row r="377" spans="1:4" x14ac:dyDescent="0.25">
      <c r="A377" s="1">
        <v>44634</v>
      </c>
      <c r="B377" s="2">
        <f t="shared" si="11"/>
        <v>11</v>
      </c>
      <c r="C377" s="2">
        <f t="shared" si="12"/>
        <v>2022</v>
      </c>
      <c r="D377">
        <v>188</v>
      </c>
    </row>
    <row r="378" spans="1:4" x14ac:dyDescent="0.25">
      <c r="A378" s="1">
        <v>44641</v>
      </c>
      <c r="B378" s="2">
        <f t="shared" si="11"/>
        <v>12</v>
      </c>
      <c r="C378" s="2">
        <f t="shared" si="12"/>
        <v>2022</v>
      </c>
      <c r="D378">
        <v>162</v>
      </c>
    </row>
    <row r="379" spans="1:4" x14ac:dyDescent="0.25">
      <c r="A379" s="1">
        <v>44648</v>
      </c>
      <c r="B379" s="2">
        <f t="shared" si="11"/>
        <v>13</v>
      </c>
      <c r="C379" s="2">
        <f t="shared" si="12"/>
        <v>2022</v>
      </c>
      <c r="D379">
        <v>178</v>
      </c>
    </row>
    <row r="380" spans="1:4" x14ac:dyDescent="0.25">
      <c r="A380" s="1">
        <v>44655</v>
      </c>
      <c r="B380" s="2">
        <f t="shared" si="11"/>
        <v>14</v>
      </c>
      <c r="C380" s="2">
        <f t="shared" si="12"/>
        <v>2022</v>
      </c>
      <c r="D380">
        <v>176</v>
      </c>
    </row>
    <row r="381" spans="1:4" x14ac:dyDescent="0.25">
      <c r="A381" s="1">
        <v>44662</v>
      </c>
      <c r="B381" s="2">
        <f t="shared" si="11"/>
        <v>15</v>
      </c>
      <c r="C381" s="2">
        <f t="shared" si="12"/>
        <v>2022</v>
      </c>
      <c r="D381">
        <v>193</v>
      </c>
    </row>
    <row r="382" spans="1:4" x14ac:dyDescent="0.25">
      <c r="A382" s="1">
        <v>44669</v>
      </c>
      <c r="B382" s="2">
        <f t="shared" si="11"/>
        <v>16</v>
      </c>
      <c r="C382" s="2">
        <f t="shared" si="12"/>
        <v>2022</v>
      </c>
      <c r="D382">
        <v>179</v>
      </c>
    </row>
    <row r="383" spans="1:4" x14ac:dyDescent="0.25">
      <c r="A383" s="1">
        <v>44676</v>
      </c>
      <c r="B383" s="2">
        <f t="shared" si="11"/>
        <v>17</v>
      </c>
      <c r="C383" s="2">
        <f t="shared" si="12"/>
        <v>2022</v>
      </c>
      <c r="D383">
        <v>149</v>
      </c>
    </row>
    <row r="384" spans="1:4" x14ac:dyDescent="0.25">
      <c r="A384" s="1">
        <v>44683</v>
      </c>
      <c r="B384" s="2">
        <f t="shared" si="11"/>
        <v>18</v>
      </c>
      <c r="C384" s="2">
        <f t="shared" si="12"/>
        <v>2022</v>
      </c>
      <c r="D384">
        <v>169</v>
      </c>
    </row>
    <row r="385" spans="1:4" x14ac:dyDescent="0.25">
      <c r="A385" s="1">
        <v>44690</v>
      </c>
      <c r="B385" s="2">
        <f t="shared" si="11"/>
        <v>19</v>
      </c>
      <c r="C385" s="2">
        <f t="shared" si="12"/>
        <v>2022</v>
      </c>
      <c r="D385">
        <v>142</v>
      </c>
    </row>
    <row r="386" spans="1:4" x14ac:dyDescent="0.25">
      <c r="A386" s="1">
        <v>44697</v>
      </c>
      <c r="B386" s="2">
        <f t="shared" si="11"/>
        <v>20</v>
      </c>
      <c r="C386" s="2">
        <f t="shared" si="12"/>
        <v>2022</v>
      </c>
      <c r="D386">
        <v>161</v>
      </c>
    </row>
    <row r="387" spans="1:4" x14ac:dyDescent="0.25">
      <c r="A387" s="1">
        <v>44704</v>
      </c>
      <c r="B387" s="2">
        <f t="shared" ref="B387:B450" si="13">_xlfn.ISOWEEKNUM(A387)</f>
        <v>21</v>
      </c>
      <c r="C387" s="2">
        <f t="shared" ref="C387:C450" si="14">YEAR(A387)</f>
        <v>2022</v>
      </c>
      <c r="D387">
        <v>148</v>
      </c>
    </row>
    <row r="388" spans="1:4" x14ac:dyDescent="0.25">
      <c r="A388" s="1">
        <v>44711</v>
      </c>
      <c r="B388" s="2">
        <f t="shared" si="13"/>
        <v>22</v>
      </c>
      <c r="C388" s="2">
        <f t="shared" si="14"/>
        <v>2022</v>
      </c>
      <c r="D388">
        <v>147</v>
      </c>
    </row>
    <row r="389" spans="1:4" x14ac:dyDescent="0.25">
      <c r="A389" s="1">
        <v>44718</v>
      </c>
      <c r="B389" s="2">
        <f t="shared" si="13"/>
        <v>23</v>
      </c>
      <c r="C389" s="2">
        <f t="shared" si="14"/>
        <v>2022</v>
      </c>
      <c r="D389">
        <v>149</v>
      </c>
    </row>
    <row r="390" spans="1:4" x14ac:dyDescent="0.25">
      <c r="A390" s="1">
        <v>44725</v>
      </c>
      <c r="B390" s="2">
        <f t="shared" si="13"/>
        <v>24</v>
      </c>
      <c r="C390" s="2">
        <f t="shared" si="14"/>
        <v>2022</v>
      </c>
      <c r="D390">
        <v>168</v>
      </c>
    </row>
    <row r="391" spans="1:4" x14ac:dyDescent="0.25">
      <c r="A391" s="1">
        <v>44732</v>
      </c>
      <c r="B391" s="2">
        <f t="shared" si="13"/>
        <v>25</v>
      </c>
      <c r="C391" s="2">
        <f t="shared" si="14"/>
        <v>2022</v>
      </c>
      <c r="D391">
        <v>165</v>
      </c>
    </row>
    <row r="392" spans="1:4" x14ac:dyDescent="0.25">
      <c r="A392" s="1">
        <v>44739</v>
      </c>
      <c r="B392" s="2">
        <f t="shared" si="13"/>
        <v>26</v>
      </c>
      <c r="C392" s="2">
        <f t="shared" si="14"/>
        <v>2022</v>
      </c>
      <c r="D392">
        <v>153</v>
      </c>
    </row>
    <row r="393" spans="1:4" x14ac:dyDescent="0.25">
      <c r="A393" s="1">
        <v>44746</v>
      </c>
      <c r="B393" s="2">
        <f t="shared" si="13"/>
        <v>27</v>
      </c>
      <c r="C393" s="2">
        <f t="shared" si="14"/>
        <v>2022</v>
      </c>
      <c r="D393">
        <v>151</v>
      </c>
    </row>
    <row r="394" spans="1:4" x14ac:dyDescent="0.25">
      <c r="A394" s="1">
        <v>44753</v>
      </c>
      <c r="B394" s="2">
        <f t="shared" si="13"/>
        <v>28</v>
      </c>
      <c r="C394" s="2">
        <f t="shared" si="14"/>
        <v>2022</v>
      </c>
      <c r="D394">
        <v>140</v>
      </c>
    </row>
    <row r="395" spans="1:4" x14ac:dyDescent="0.25">
      <c r="A395" s="1">
        <v>44760</v>
      </c>
      <c r="B395" s="2">
        <f t="shared" si="13"/>
        <v>29</v>
      </c>
      <c r="C395" s="2">
        <f t="shared" si="14"/>
        <v>2022</v>
      </c>
      <c r="D395">
        <v>199</v>
      </c>
    </row>
    <row r="396" spans="1:4" x14ac:dyDescent="0.25">
      <c r="A396" s="1">
        <v>44767</v>
      </c>
      <c r="B396" s="2">
        <f t="shared" si="13"/>
        <v>30</v>
      </c>
      <c r="C396" s="2">
        <f t="shared" si="14"/>
        <v>2022</v>
      </c>
      <c r="D396">
        <v>168</v>
      </c>
    </row>
    <row r="397" spans="1:4" x14ac:dyDescent="0.25">
      <c r="A397" s="1">
        <v>44774</v>
      </c>
      <c r="B397" s="2">
        <f t="shared" si="13"/>
        <v>31</v>
      </c>
      <c r="C397" s="2">
        <f t="shared" si="14"/>
        <v>2022</v>
      </c>
      <c r="D397">
        <v>161</v>
      </c>
    </row>
    <row r="398" spans="1:4" x14ac:dyDescent="0.25">
      <c r="A398" s="1">
        <v>44781</v>
      </c>
      <c r="B398" s="2">
        <f t="shared" si="13"/>
        <v>32</v>
      </c>
      <c r="C398" s="2">
        <f t="shared" si="14"/>
        <v>2022</v>
      </c>
      <c r="D398">
        <v>177</v>
      </c>
    </row>
    <row r="399" spans="1:4" x14ac:dyDescent="0.25">
      <c r="A399" s="1">
        <v>44788</v>
      </c>
      <c r="B399" s="2">
        <f t="shared" si="13"/>
        <v>33</v>
      </c>
      <c r="C399" s="2">
        <f t="shared" si="14"/>
        <v>2022</v>
      </c>
      <c r="D399">
        <v>149</v>
      </c>
    </row>
    <row r="400" spans="1:4" x14ac:dyDescent="0.25">
      <c r="A400" s="1">
        <v>44795</v>
      </c>
      <c r="B400" s="2">
        <f t="shared" si="13"/>
        <v>34</v>
      </c>
      <c r="C400" s="2">
        <f t="shared" si="14"/>
        <v>2022</v>
      </c>
      <c r="D400">
        <v>164</v>
      </c>
    </row>
    <row r="401" spans="1:4" x14ac:dyDescent="0.25">
      <c r="A401" s="1">
        <v>44802</v>
      </c>
      <c r="B401" s="2">
        <f t="shared" si="13"/>
        <v>35</v>
      </c>
      <c r="C401" s="2">
        <f t="shared" si="14"/>
        <v>2022</v>
      </c>
      <c r="D401">
        <v>138</v>
      </c>
    </row>
    <row r="402" spans="1:4" x14ac:dyDescent="0.25">
      <c r="A402" s="1">
        <v>44809</v>
      </c>
      <c r="B402" s="2">
        <f t="shared" si="13"/>
        <v>36</v>
      </c>
      <c r="C402" s="2">
        <f t="shared" si="14"/>
        <v>2022</v>
      </c>
      <c r="D402">
        <v>170</v>
      </c>
    </row>
    <row r="403" spans="1:4" x14ac:dyDescent="0.25">
      <c r="A403" s="1">
        <v>44816</v>
      </c>
      <c r="B403" s="2">
        <f t="shared" si="13"/>
        <v>37</v>
      </c>
      <c r="C403" s="2">
        <f t="shared" si="14"/>
        <v>2022</v>
      </c>
      <c r="D403">
        <v>143</v>
      </c>
    </row>
    <row r="404" spans="1:4" x14ac:dyDescent="0.25">
      <c r="A404" s="1">
        <v>44823</v>
      </c>
      <c r="B404" s="2">
        <f t="shared" si="13"/>
        <v>38</v>
      </c>
      <c r="C404" s="2">
        <f t="shared" si="14"/>
        <v>2022</v>
      </c>
      <c r="D404">
        <v>135</v>
      </c>
    </row>
    <row r="405" spans="1:4" x14ac:dyDescent="0.25">
      <c r="A405" s="1">
        <v>44830</v>
      </c>
      <c r="B405" s="2">
        <f t="shared" si="13"/>
        <v>39</v>
      </c>
      <c r="C405" s="2">
        <f t="shared" si="14"/>
        <v>2022</v>
      </c>
      <c r="D405">
        <v>150</v>
      </c>
    </row>
    <row r="406" spans="1:4" x14ac:dyDescent="0.25">
      <c r="A406" s="1">
        <v>44837</v>
      </c>
      <c r="B406" s="2">
        <f t="shared" si="13"/>
        <v>40</v>
      </c>
      <c r="C406" s="2">
        <f t="shared" si="14"/>
        <v>2022</v>
      </c>
      <c r="D406">
        <v>180</v>
      </c>
    </row>
    <row r="407" spans="1:4" x14ac:dyDescent="0.25">
      <c r="A407" s="1">
        <v>44844</v>
      </c>
      <c r="B407" s="2">
        <f t="shared" si="13"/>
        <v>41</v>
      </c>
      <c r="C407" s="2">
        <f t="shared" si="14"/>
        <v>2022</v>
      </c>
      <c r="D407">
        <v>151</v>
      </c>
    </row>
    <row r="408" spans="1:4" x14ac:dyDescent="0.25">
      <c r="A408" s="1">
        <v>44851</v>
      </c>
      <c r="B408" s="2">
        <f t="shared" si="13"/>
        <v>42</v>
      </c>
      <c r="C408" s="2">
        <f t="shared" si="14"/>
        <v>2022</v>
      </c>
      <c r="D408">
        <v>170</v>
      </c>
    </row>
    <row r="409" spans="1:4" x14ac:dyDescent="0.25">
      <c r="A409" s="1">
        <v>44858</v>
      </c>
      <c r="B409" s="2">
        <f t="shared" si="13"/>
        <v>43</v>
      </c>
      <c r="C409" s="2">
        <f t="shared" si="14"/>
        <v>2022</v>
      </c>
      <c r="D409">
        <v>186</v>
      </c>
    </row>
    <row r="410" spans="1:4" x14ac:dyDescent="0.25">
      <c r="A410" s="1">
        <v>44865</v>
      </c>
      <c r="B410" s="2">
        <f t="shared" si="13"/>
        <v>44</v>
      </c>
      <c r="C410" s="2">
        <f t="shared" si="14"/>
        <v>2022</v>
      </c>
      <c r="D410">
        <v>166</v>
      </c>
    </row>
    <row r="411" spans="1:4" x14ac:dyDescent="0.25">
      <c r="A411" s="1">
        <v>44872</v>
      </c>
      <c r="B411" s="2">
        <f t="shared" si="13"/>
        <v>45</v>
      </c>
      <c r="C411" s="2">
        <f t="shared" si="14"/>
        <v>2022</v>
      </c>
      <c r="D411">
        <v>165</v>
      </c>
    </row>
    <row r="412" spans="1:4" x14ac:dyDescent="0.25">
      <c r="A412" s="1">
        <v>44879</v>
      </c>
      <c r="B412" s="2">
        <f t="shared" si="13"/>
        <v>46</v>
      </c>
      <c r="C412" s="2">
        <f t="shared" si="14"/>
        <v>2022</v>
      </c>
      <c r="D412">
        <v>144</v>
      </c>
    </row>
    <row r="413" spans="1:4" x14ac:dyDescent="0.25">
      <c r="A413" s="1">
        <v>44886</v>
      </c>
      <c r="B413" s="2">
        <f t="shared" si="13"/>
        <v>47</v>
      </c>
      <c r="C413" s="2">
        <f t="shared" si="14"/>
        <v>2022</v>
      </c>
      <c r="D413">
        <v>185</v>
      </c>
    </row>
    <row r="414" spans="1:4" x14ac:dyDescent="0.25">
      <c r="A414" s="1">
        <v>44893</v>
      </c>
      <c r="B414" s="2">
        <f t="shared" si="13"/>
        <v>48</v>
      </c>
      <c r="C414" s="2">
        <f t="shared" si="14"/>
        <v>2022</v>
      </c>
      <c r="D414">
        <v>170</v>
      </c>
    </row>
    <row r="415" spans="1:4" x14ac:dyDescent="0.25">
      <c r="A415" s="1">
        <v>44900</v>
      </c>
      <c r="B415" s="2">
        <f t="shared" si="13"/>
        <v>49</v>
      </c>
      <c r="C415" s="2">
        <f t="shared" si="14"/>
        <v>2022</v>
      </c>
      <c r="D415">
        <v>154</v>
      </c>
    </row>
    <row r="416" spans="1:4" x14ac:dyDescent="0.25">
      <c r="A416" s="1">
        <v>44907</v>
      </c>
      <c r="B416" s="2">
        <f t="shared" si="13"/>
        <v>50</v>
      </c>
      <c r="C416" s="2">
        <f t="shared" si="14"/>
        <v>2022</v>
      </c>
      <c r="D416">
        <v>212</v>
      </c>
    </row>
    <row r="417" spans="1:4" x14ac:dyDescent="0.25">
      <c r="A417" s="1">
        <v>44914</v>
      </c>
      <c r="B417" s="2">
        <f t="shared" si="13"/>
        <v>51</v>
      </c>
      <c r="C417" s="2">
        <f t="shared" si="14"/>
        <v>2022</v>
      </c>
      <c r="D417">
        <v>234</v>
      </c>
    </row>
    <row r="418" spans="1:4" x14ac:dyDescent="0.25">
      <c r="A418" s="1">
        <v>44921</v>
      </c>
      <c r="B418" s="2">
        <f t="shared" si="13"/>
        <v>52</v>
      </c>
      <c r="C418" s="2">
        <f t="shared" si="14"/>
        <v>2022</v>
      </c>
      <c r="D418">
        <v>217</v>
      </c>
    </row>
    <row r="419" spans="1:4" x14ac:dyDescent="0.25">
      <c r="A419" s="1">
        <v>44928</v>
      </c>
      <c r="B419" s="2">
        <f t="shared" si="13"/>
        <v>1</v>
      </c>
      <c r="C419" s="2">
        <f t="shared" si="14"/>
        <v>2023</v>
      </c>
      <c r="D419">
        <v>212</v>
      </c>
    </row>
    <row r="420" spans="1:4" x14ac:dyDescent="0.25">
      <c r="A420" s="1">
        <v>44935</v>
      </c>
      <c r="B420" s="2">
        <f t="shared" si="13"/>
        <v>2</v>
      </c>
      <c r="C420" s="2">
        <f t="shared" si="14"/>
        <v>2023</v>
      </c>
      <c r="D420">
        <v>224</v>
      </c>
    </row>
    <row r="421" spans="1:4" x14ac:dyDescent="0.25">
      <c r="A421" s="1">
        <v>44942</v>
      </c>
      <c r="B421" s="2">
        <f t="shared" si="13"/>
        <v>3</v>
      </c>
      <c r="C421" s="2">
        <f t="shared" si="14"/>
        <v>2023</v>
      </c>
      <c r="D421">
        <v>171</v>
      </c>
    </row>
    <row r="422" spans="1:4" x14ac:dyDescent="0.25">
      <c r="A422" s="1">
        <v>44949</v>
      </c>
      <c r="B422" s="2">
        <f t="shared" si="13"/>
        <v>4</v>
      </c>
      <c r="C422" s="2">
        <f t="shared" si="14"/>
        <v>2023</v>
      </c>
      <c r="D422">
        <v>159</v>
      </c>
    </row>
    <row r="423" spans="1:4" x14ac:dyDescent="0.25">
      <c r="A423" s="1">
        <v>44956</v>
      </c>
      <c r="B423" s="2">
        <f t="shared" si="13"/>
        <v>5</v>
      </c>
      <c r="C423" s="2">
        <f t="shared" si="14"/>
        <v>2023</v>
      </c>
      <c r="D423">
        <v>185</v>
      </c>
    </row>
    <row r="424" spans="1:4" x14ac:dyDescent="0.25">
      <c r="A424" s="1">
        <v>44963</v>
      </c>
      <c r="B424" s="2">
        <f t="shared" si="13"/>
        <v>6</v>
      </c>
      <c r="C424" s="2">
        <f t="shared" si="14"/>
        <v>2023</v>
      </c>
      <c r="D424">
        <v>187</v>
      </c>
    </row>
    <row r="425" spans="1:4" x14ac:dyDescent="0.25">
      <c r="A425" s="1">
        <v>44970</v>
      </c>
      <c r="B425" s="2">
        <f t="shared" si="13"/>
        <v>7</v>
      </c>
      <c r="C425" s="2">
        <f t="shared" si="14"/>
        <v>2023</v>
      </c>
      <c r="D425">
        <v>168</v>
      </c>
    </row>
    <row r="426" spans="1:4" x14ac:dyDescent="0.25">
      <c r="A426" s="1">
        <v>44977</v>
      </c>
      <c r="B426" s="2">
        <f t="shared" si="13"/>
        <v>8</v>
      </c>
      <c r="C426" s="2">
        <f t="shared" si="14"/>
        <v>2023</v>
      </c>
      <c r="D426">
        <v>159</v>
      </c>
    </row>
    <row r="427" spans="1:4" x14ac:dyDescent="0.25">
      <c r="A427" s="1">
        <v>44984</v>
      </c>
      <c r="B427" s="2">
        <f t="shared" si="13"/>
        <v>9</v>
      </c>
      <c r="C427" s="2">
        <f t="shared" si="14"/>
        <v>2023</v>
      </c>
      <c r="D427">
        <v>166</v>
      </c>
    </row>
    <row r="428" spans="1:4" x14ac:dyDescent="0.25">
      <c r="A428" s="1">
        <v>44991</v>
      </c>
      <c r="B428" s="2">
        <f t="shared" si="13"/>
        <v>10</v>
      </c>
      <c r="C428" s="2">
        <f t="shared" si="14"/>
        <v>2023</v>
      </c>
      <c r="D428">
        <v>170</v>
      </c>
    </row>
    <row r="429" spans="1:4" x14ac:dyDescent="0.25">
      <c r="A429" s="1">
        <v>44998</v>
      </c>
      <c r="B429" s="2">
        <f t="shared" si="13"/>
        <v>11</v>
      </c>
      <c r="C429" s="2">
        <f t="shared" si="14"/>
        <v>2023</v>
      </c>
      <c r="D429">
        <v>164</v>
      </c>
    </row>
    <row r="430" spans="1:4" x14ac:dyDescent="0.25">
      <c r="A430" s="1">
        <v>45005</v>
      </c>
      <c r="B430" s="2">
        <f t="shared" si="13"/>
        <v>12</v>
      </c>
      <c r="C430" s="2">
        <f t="shared" si="14"/>
        <v>2023</v>
      </c>
      <c r="D430">
        <v>151</v>
      </c>
    </row>
    <row r="431" spans="1:4" x14ac:dyDescent="0.25">
      <c r="A431" s="1">
        <v>45012</v>
      </c>
      <c r="B431" s="2">
        <f t="shared" si="13"/>
        <v>13</v>
      </c>
      <c r="C431" s="2">
        <f t="shared" si="14"/>
        <v>2023</v>
      </c>
      <c r="D431">
        <v>178</v>
      </c>
    </row>
    <row r="432" spans="1:4" x14ac:dyDescent="0.25">
      <c r="A432" s="1">
        <v>45019</v>
      </c>
      <c r="B432" s="2">
        <f t="shared" si="13"/>
        <v>14</v>
      </c>
      <c r="C432" s="2">
        <f t="shared" si="14"/>
        <v>2023</v>
      </c>
      <c r="D432">
        <v>166</v>
      </c>
    </row>
    <row r="433" spans="1:4" x14ac:dyDescent="0.25">
      <c r="A433" s="1">
        <v>45026</v>
      </c>
      <c r="B433" s="2">
        <f t="shared" si="13"/>
        <v>15</v>
      </c>
      <c r="C433" s="2">
        <f t="shared" si="14"/>
        <v>2023</v>
      </c>
      <c r="D433">
        <v>170</v>
      </c>
    </row>
    <row r="434" spans="1:4" x14ac:dyDescent="0.25">
      <c r="A434" s="1">
        <v>45033</v>
      </c>
      <c r="B434" s="2">
        <f t="shared" si="13"/>
        <v>16</v>
      </c>
      <c r="C434" s="2">
        <f t="shared" si="14"/>
        <v>2023</v>
      </c>
      <c r="D434">
        <v>158</v>
      </c>
    </row>
    <row r="435" spans="1:4" x14ac:dyDescent="0.25">
      <c r="A435" s="1">
        <v>45040</v>
      </c>
      <c r="B435" s="2">
        <f t="shared" si="13"/>
        <v>17</v>
      </c>
      <c r="C435" s="2">
        <f t="shared" si="14"/>
        <v>2023</v>
      </c>
      <c r="D435">
        <v>167</v>
      </c>
    </row>
    <row r="436" spans="1:4" x14ac:dyDescent="0.25">
      <c r="A436" s="1">
        <v>45047</v>
      </c>
      <c r="B436" s="2">
        <f t="shared" si="13"/>
        <v>18</v>
      </c>
      <c r="C436" s="2">
        <f t="shared" si="14"/>
        <v>2023</v>
      </c>
      <c r="D436">
        <v>149</v>
      </c>
    </row>
    <row r="437" spans="1:4" x14ac:dyDescent="0.25">
      <c r="A437" s="1">
        <v>45054</v>
      </c>
      <c r="B437" s="2">
        <f t="shared" si="13"/>
        <v>19</v>
      </c>
      <c r="C437" s="2">
        <f t="shared" si="14"/>
        <v>2023</v>
      </c>
      <c r="D437">
        <v>174</v>
      </c>
    </row>
    <row r="438" spans="1:4" x14ac:dyDescent="0.25">
      <c r="A438" s="1">
        <v>45061</v>
      </c>
      <c r="B438" s="2">
        <f t="shared" si="13"/>
        <v>20</v>
      </c>
      <c r="C438" s="2">
        <f t="shared" si="14"/>
        <v>2023</v>
      </c>
      <c r="D438">
        <v>158</v>
      </c>
    </row>
    <row r="439" spans="1:4" x14ac:dyDescent="0.25">
      <c r="A439" s="1">
        <v>45068</v>
      </c>
      <c r="B439" s="2">
        <f t="shared" si="13"/>
        <v>21</v>
      </c>
      <c r="C439" s="2">
        <f t="shared" si="14"/>
        <v>2023</v>
      </c>
      <c r="D439">
        <v>134</v>
      </c>
    </row>
    <row r="440" spans="1:4" x14ac:dyDescent="0.25">
      <c r="A440" s="1">
        <v>45075</v>
      </c>
      <c r="B440" s="2">
        <f t="shared" si="13"/>
        <v>22</v>
      </c>
      <c r="C440" s="2">
        <f t="shared" si="14"/>
        <v>2023</v>
      </c>
      <c r="D440">
        <v>150</v>
      </c>
    </row>
    <row r="441" spans="1:4" x14ac:dyDescent="0.25">
      <c r="A441" s="1">
        <v>45082</v>
      </c>
      <c r="B441" s="2">
        <f t="shared" si="13"/>
        <v>23</v>
      </c>
      <c r="C441" s="2">
        <f t="shared" si="14"/>
        <v>2023</v>
      </c>
      <c r="D441">
        <v>164</v>
      </c>
    </row>
    <row r="442" spans="1:4" x14ac:dyDescent="0.25">
      <c r="A442" s="1">
        <v>45089</v>
      </c>
      <c r="B442" s="2">
        <f t="shared" si="13"/>
        <v>24</v>
      </c>
      <c r="C442" s="2">
        <f t="shared" si="14"/>
        <v>2023</v>
      </c>
      <c r="D442">
        <v>179</v>
      </c>
    </row>
    <row r="443" spans="1:4" x14ac:dyDescent="0.25">
      <c r="A443" s="1">
        <v>45096</v>
      </c>
      <c r="B443" s="2">
        <f t="shared" si="13"/>
        <v>25</v>
      </c>
      <c r="C443" s="2">
        <f t="shared" si="14"/>
        <v>2023</v>
      </c>
      <c r="D443">
        <v>120</v>
      </c>
    </row>
    <row r="444" spans="1:4" x14ac:dyDescent="0.25">
      <c r="A444" s="1">
        <v>45103</v>
      </c>
      <c r="B444" s="2">
        <f t="shared" si="13"/>
        <v>26</v>
      </c>
      <c r="C444" s="2">
        <f t="shared" si="14"/>
        <v>2023</v>
      </c>
      <c r="D444">
        <v>162</v>
      </c>
    </row>
    <row r="445" spans="1:4" x14ac:dyDescent="0.25">
      <c r="A445" s="1">
        <v>45110</v>
      </c>
      <c r="B445" s="2">
        <f t="shared" si="13"/>
        <v>27</v>
      </c>
      <c r="C445" s="2">
        <f t="shared" si="14"/>
        <v>2023</v>
      </c>
      <c r="D445">
        <v>151</v>
      </c>
    </row>
    <row r="446" spans="1:4" x14ac:dyDescent="0.25">
      <c r="A446" s="1">
        <v>45117</v>
      </c>
      <c r="B446" s="2">
        <f t="shared" si="13"/>
        <v>28</v>
      </c>
      <c r="C446" s="2">
        <f t="shared" si="14"/>
        <v>2023</v>
      </c>
      <c r="D446">
        <v>150</v>
      </c>
    </row>
    <row r="447" spans="1:4" x14ac:dyDescent="0.25">
      <c r="A447" s="1">
        <v>45124</v>
      </c>
      <c r="B447" s="2">
        <f t="shared" si="13"/>
        <v>29</v>
      </c>
      <c r="C447" s="2">
        <f t="shared" si="14"/>
        <v>2023</v>
      </c>
      <c r="D447">
        <v>142</v>
      </c>
    </row>
    <row r="448" spans="1:4" x14ac:dyDescent="0.25">
      <c r="A448" s="1">
        <v>45131</v>
      </c>
      <c r="B448" s="2">
        <f t="shared" si="13"/>
        <v>30</v>
      </c>
      <c r="C448" s="2">
        <f t="shared" si="14"/>
        <v>2023</v>
      </c>
      <c r="D448">
        <v>138</v>
      </c>
    </row>
    <row r="449" spans="1:4" x14ac:dyDescent="0.25">
      <c r="A449" s="1">
        <v>45138</v>
      </c>
      <c r="B449" s="2">
        <f t="shared" si="13"/>
        <v>31</v>
      </c>
      <c r="C449" s="2">
        <f t="shared" si="14"/>
        <v>2023</v>
      </c>
      <c r="D449">
        <v>144</v>
      </c>
    </row>
    <row r="450" spans="1:4" x14ac:dyDescent="0.25">
      <c r="A450" s="1">
        <v>45145</v>
      </c>
      <c r="B450" s="2">
        <f t="shared" si="13"/>
        <v>32</v>
      </c>
      <c r="C450" s="2">
        <f t="shared" si="14"/>
        <v>2023</v>
      </c>
      <c r="D450">
        <v>141</v>
      </c>
    </row>
    <row r="451" spans="1:4" x14ac:dyDescent="0.25">
      <c r="A451" s="1">
        <v>45152</v>
      </c>
      <c r="B451" s="2">
        <f t="shared" ref="B451:B470" si="15">_xlfn.ISOWEEKNUM(A451)</f>
        <v>33</v>
      </c>
      <c r="C451" s="2">
        <f t="shared" ref="C451:C470" si="16">YEAR(A451)</f>
        <v>2023</v>
      </c>
      <c r="D451">
        <v>147</v>
      </c>
    </row>
    <row r="452" spans="1:4" x14ac:dyDescent="0.25">
      <c r="A452" s="1">
        <v>45159</v>
      </c>
      <c r="B452" s="2">
        <f t="shared" si="15"/>
        <v>34</v>
      </c>
      <c r="C452" s="2">
        <f t="shared" si="16"/>
        <v>2023</v>
      </c>
      <c r="D452">
        <v>162</v>
      </c>
    </row>
    <row r="453" spans="1:4" x14ac:dyDescent="0.25">
      <c r="A453" s="1">
        <v>45166</v>
      </c>
      <c r="B453" s="2">
        <f t="shared" si="15"/>
        <v>35</v>
      </c>
      <c r="C453" s="2">
        <f t="shared" si="16"/>
        <v>2023</v>
      </c>
      <c r="D453">
        <v>157</v>
      </c>
    </row>
    <row r="454" spans="1:4" x14ac:dyDescent="0.25">
      <c r="A454" s="1">
        <v>45173</v>
      </c>
      <c r="B454" s="2">
        <f t="shared" si="15"/>
        <v>36</v>
      </c>
      <c r="C454" s="2">
        <f t="shared" si="16"/>
        <v>2023</v>
      </c>
      <c r="D454">
        <v>153</v>
      </c>
    </row>
    <row r="455" spans="1:4" x14ac:dyDescent="0.25">
      <c r="A455" s="1">
        <v>45180</v>
      </c>
      <c r="B455" s="2">
        <f t="shared" si="15"/>
        <v>37</v>
      </c>
      <c r="C455" s="2">
        <f t="shared" si="16"/>
        <v>2023</v>
      </c>
      <c r="D455">
        <v>158</v>
      </c>
    </row>
    <row r="456" spans="1:4" x14ac:dyDescent="0.25">
      <c r="A456" s="1">
        <v>45187</v>
      </c>
      <c r="B456" s="2">
        <f t="shared" si="15"/>
        <v>38</v>
      </c>
      <c r="C456" s="2">
        <f t="shared" si="16"/>
        <v>2023</v>
      </c>
      <c r="D456">
        <v>147</v>
      </c>
    </row>
    <row r="457" spans="1:4" x14ac:dyDescent="0.25">
      <c r="A457" s="1">
        <v>45194</v>
      </c>
      <c r="B457" s="2">
        <f t="shared" si="15"/>
        <v>39</v>
      </c>
      <c r="C457" s="2">
        <f t="shared" si="16"/>
        <v>2023</v>
      </c>
      <c r="D457">
        <v>165</v>
      </c>
    </row>
    <row r="458" spans="1:4" x14ac:dyDescent="0.25">
      <c r="A458" s="1">
        <v>45201</v>
      </c>
      <c r="B458" s="2">
        <f t="shared" si="15"/>
        <v>40</v>
      </c>
      <c r="C458" s="2">
        <f t="shared" si="16"/>
        <v>2023</v>
      </c>
      <c r="D458">
        <v>175</v>
      </c>
    </row>
    <row r="459" spans="1:4" x14ac:dyDescent="0.25">
      <c r="A459" s="1">
        <v>45208</v>
      </c>
      <c r="B459" s="2">
        <f t="shared" si="15"/>
        <v>41</v>
      </c>
      <c r="C459" s="2">
        <f t="shared" si="16"/>
        <v>2023</v>
      </c>
      <c r="D459">
        <v>155</v>
      </c>
    </row>
    <row r="460" spans="1:4" x14ac:dyDescent="0.25">
      <c r="A460" s="1">
        <v>45215</v>
      </c>
      <c r="B460" s="2">
        <f t="shared" si="15"/>
        <v>42</v>
      </c>
      <c r="C460" s="2">
        <f t="shared" si="16"/>
        <v>2023</v>
      </c>
      <c r="D460">
        <v>175</v>
      </c>
    </row>
    <row r="461" spans="1:4" x14ac:dyDescent="0.25">
      <c r="A461" s="1">
        <v>45222</v>
      </c>
      <c r="B461" s="2">
        <f t="shared" si="15"/>
        <v>43</v>
      </c>
      <c r="C461" s="2">
        <f t="shared" si="16"/>
        <v>2023</v>
      </c>
      <c r="D461">
        <v>176</v>
      </c>
    </row>
    <row r="462" spans="1:4" x14ac:dyDescent="0.25">
      <c r="A462" s="1">
        <v>45229</v>
      </c>
      <c r="B462" s="2">
        <f t="shared" si="15"/>
        <v>44</v>
      </c>
      <c r="C462" s="2">
        <f t="shared" si="16"/>
        <v>2023</v>
      </c>
      <c r="D462">
        <v>159</v>
      </c>
    </row>
    <row r="463" spans="1:4" x14ac:dyDescent="0.25">
      <c r="A463" s="1">
        <v>45236</v>
      </c>
      <c r="B463" s="2">
        <f t="shared" si="15"/>
        <v>45</v>
      </c>
      <c r="C463" s="2">
        <f t="shared" si="16"/>
        <v>2023</v>
      </c>
      <c r="D463">
        <v>170</v>
      </c>
    </row>
    <row r="464" spans="1:4" x14ac:dyDescent="0.25">
      <c r="A464" s="1">
        <v>45243</v>
      </c>
      <c r="B464" s="2">
        <f t="shared" si="15"/>
        <v>46</v>
      </c>
      <c r="C464" s="2">
        <f t="shared" si="16"/>
        <v>2023</v>
      </c>
      <c r="D464">
        <v>185</v>
      </c>
    </row>
    <row r="465" spans="1:4" x14ac:dyDescent="0.25">
      <c r="A465" s="1">
        <v>45250</v>
      </c>
      <c r="B465" s="2">
        <f t="shared" si="15"/>
        <v>47</v>
      </c>
      <c r="C465" s="2">
        <f t="shared" si="16"/>
        <v>2023</v>
      </c>
      <c r="D465">
        <v>150</v>
      </c>
    </row>
    <row r="466" spans="1:4" x14ac:dyDescent="0.25">
      <c r="A466" s="1">
        <v>45257</v>
      </c>
      <c r="B466" s="2">
        <f t="shared" si="15"/>
        <v>48</v>
      </c>
      <c r="C466" s="2">
        <f t="shared" si="16"/>
        <v>2023</v>
      </c>
      <c r="D466">
        <v>186</v>
      </c>
    </row>
    <row r="467" spans="1:4" x14ac:dyDescent="0.25">
      <c r="A467" s="1">
        <v>45264</v>
      </c>
      <c r="B467" s="2">
        <f t="shared" si="15"/>
        <v>49</v>
      </c>
      <c r="C467" s="2">
        <f t="shared" si="16"/>
        <v>2023</v>
      </c>
      <c r="D467">
        <v>209</v>
      </c>
    </row>
    <row r="468" spans="1:4" x14ac:dyDescent="0.25">
      <c r="A468" s="1">
        <v>45271</v>
      </c>
      <c r="B468" s="2">
        <f t="shared" si="15"/>
        <v>50</v>
      </c>
      <c r="C468" s="2">
        <f t="shared" si="16"/>
        <v>2023</v>
      </c>
      <c r="D468">
        <v>199</v>
      </c>
    </row>
    <row r="469" spans="1:4" x14ac:dyDescent="0.25">
      <c r="A469" s="1">
        <v>45278</v>
      </c>
      <c r="B469" s="2">
        <f t="shared" si="15"/>
        <v>51</v>
      </c>
      <c r="C469" s="2">
        <f t="shared" si="16"/>
        <v>2023</v>
      </c>
      <c r="D469">
        <v>202</v>
      </c>
    </row>
    <row r="470" spans="1:4" x14ac:dyDescent="0.25">
      <c r="A470" s="1">
        <v>45285</v>
      </c>
      <c r="B470" s="2">
        <f t="shared" si="15"/>
        <v>52</v>
      </c>
      <c r="C470" s="2">
        <f t="shared" si="16"/>
        <v>2023</v>
      </c>
      <c r="D470">
        <v>198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FA5A-0AFD-4014-9014-6EE71BDA5D80}">
  <dimension ref="A1:E470"/>
  <sheetViews>
    <sheetView workbookViewId="0">
      <selection activeCell="Z14" sqref="Z14"/>
    </sheetView>
  </sheetViews>
  <sheetFormatPr defaultRowHeight="15" x14ac:dyDescent="0.25"/>
  <cols>
    <col min="2" max="2" width="11.85546875" bestFit="1" customWidth="1"/>
    <col min="3" max="3" width="13.85546875" customWidth="1"/>
  </cols>
  <sheetData>
    <row r="1" spans="1:5" x14ac:dyDescent="0.25">
      <c r="A1" t="s">
        <v>0</v>
      </c>
      <c r="B1" t="s">
        <v>1</v>
      </c>
      <c r="C1" t="s">
        <v>15</v>
      </c>
      <c r="D1" t="s">
        <v>1</v>
      </c>
      <c r="E1" t="s">
        <v>15</v>
      </c>
    </row>
    <row r="2" spans="1:5" x14ac:dyDescent="0.25">
      <c r="A2" s="1">
        <v>42009</v>
      </c>
      <c r="B2">
        <v>232</v>
      </c>
      <c r="C2" cm="1">
        <f t="array" ref="C2:C470">LOG10(B2:B470)</f>
        <v>2.3654879848908998</v>
      </c>
      <c r="D2">
        <v>232</v>
      </c>
      <c r="E2">
        <v>2.3654879848908998</v>
      </c>
    </row>
    <row r="3" spans="1:5" x14ac:dyDescent="0.25">
      <c r="A3" s="1">
        <v>42016</v>
      </c>
      <c r="B3">
        <v>194</v>
      </c>
      <c r="C3">
        <v>2.287801729930226</v>
      </c>
      <c r="D3">
        <v>194</v>
      </c>
      <c r="E3">
        <v>2.287801729930226</v>
      </c>
    </row>
    <row r="4" spans="1:5" x14ac:dyDescent="0.25">
      <c r="A4" s="1">
        <v>42023</v>
      </c>
      <c r="B4">
        <v>226</v>
      </c>
      <c r="C4">
        <v>2.3541084391474008</v>
      </c>
      <c r="D4">
        <v>226</v>
      </c>
      <c r="E4">
        <v>2.3541084391474008</v>
      </c>
    </row>
    <row r="5" spans="1:5" x14ac:dyDescent="0.25">
      <c r="A5" s="1">
        <v>42030</v>
      </c>
      <c r="B5">
        <v>211</v>
      </c>
      <c r="C5">
        <v>2.3242824552976926</v>
      </c>
      <c r="D5">
        <v>211</v>
      </c>
      <c r="E5">
        <v>2.3242824552976926</v>
      </c>
    </row>
    <row r="6" spans="1:5" x14ac:dyDescent="0.25">
      <c r="A6" s="1">
        <v>42037</v>
      </c>
      <c r="B6">
        <v>243</v>
      </c>
      <c r="C6">
        <v>2.3856062735983121</v>
      </c>
      <c r="D6">
        <v>243</v>
      </c>
      <c r="E6">
        <v>2.3856062735983121</v>
      </c>
    </row>
    <row r="7" spans="1:5" x14ac:dyDescent="0.25">
      <c r="A7" s="1">
        <v>42044</v>
      </c>
      <c r="B7">
        <v>241</v>
      </c>
      <c r="C7">
        <v>2.3820170425748683</v>
      </c>
      <c r="D7">
        <v>241</v>
      </c>
      <c r="E7">
        <v>2.3820170425748683</v>
      </c>
    </row>
    <row r="8" spans="1:5" x14ac:dyDescent="0.25">
      <c r="A8" s="1">
        <v>42051</v>
      </c>
      <c r="B8">
        <v>228</v>
      </c>
      <c r="C8">
        <v>2.357934847000454</v>
      </c>
      <c r="D8">
        <v>228</v>
      </c>
      <c r="E8">
        <v>2.357934847000454</v>
      </c>
    </row>
    <row r="9" spans="1:5" x14ac:dyDescent="0.25">
      <c r="A9" s="1">
        <v>42058</v>
      </c>
      <c r="B9">
        <v>235</v>
      </c>
      <c r="C9">
        <v>2.3710678622717363</v>
      </c>
      <c r="D9">
        <v>235</v>
      </c>
      <c r="E9">
        <v>2.3710678622717363</v>
      </c>
    </row>
    <row r="10" spans="1:5" x14ac:dyDescent="0.25">
      <c r="A10" s="1">
        <v>42065</v>
      </c>
      <c r="B10">
        <v>224</v>
      </c>
      <c r="C10">
        <v>2.3502480183341627</v>
      </c>
      <c r="D10">
        <v>224</v>
      </c>
      <c r="E10">
        <v>2.3502480183341627</v>
      </c>
    </row>
    <row r="11" spans="1:5" x14ac:dyDescent="0.25">
      <c r="A11" s="1">
        <v>42072</v>
      </c>
      <c r="B11">
        <v>212</v>
      </c>
      <c r="C11">
        <v>2.3263358609287512</v>
      </c>
      <c r="D11">
        <v>212</v>
      </c>
      <c r="E11">
        <v>2.3263358609287512</v>
      </c>
    </row>
    <row r="12" spans="1:5" x14ac:dyDescent="0.25">
      <c r="A12" s="1">
        <v>42079</v>
      </c>
      <c r="B12">
        <v>191</v>
      </c>
      <c r="C12">
        <v>2.2810333672477277</v>
      </c>
      <c r="D12">
        <v>191</v>
      </c>
      <c r="E12">
        <v>2.2810333672477277</v>
      </c>
    </row>
    <row r="13" spans="1:5" x14ac:dyDescent="0.25">
      <c r="A13" s="1">
        <v>42086</v>
      </c>
      <c r="B13">
        <v>177</v>
      </c>
      <c r="C13">
        <v>2.2479732663618068</v>
      </c>
      <c r="D13">
        <v>177</v>
      </c>
      <c r="E13">
        <v>2.2479732663618068</v>
      </c>
    </row>
    <row r="14" spans="1:5" x14ac:dyDescent="0.25">
      <c r="A14" s="1">
        <v>42093</v>
      </c>
      <c r="B14">
        <v>200</v>
      </c>
      <c r="C14">
        <v>2.3010299956639813</v>
      </c>
      <c r="D14">
        <v>200</v>
      </c>
      <c r="E14">
        <v>2.3010299956639813</v>
      </c>
    </row>
    <row r="15" spans="1:5" x14ac:dyDescent="0.25">
      <c r="A15" s="1">
        <v>42100</v>
      </c>
      <c r="B15">
        <v>170</v>
      </c>
      <c r="C15">
        <v>2.2304489213782741</v>
      </c>
      <c r="D15">
        <v>170</v>
      </c>
      <c r="E15">
        <v>2.2304489213782741</v>
      </c>
    </row>
    <row r="16" spans="1:5" x14ac:dyDescent="0.25">
      <c r="A16" s="1">
        <v>42107</v>
      </c>
      <c r="B16">
        <v>178</v>
      </c>
      <c r="C16">
        <v>2.2504200023088941</v>
      </c>
      <c r="D16">
        <v>178</v>
      </c>
      <c r="E16">
        <v>2.2504200023088941</v>
      </c>
    </row>
    <row r="17" spans="1:5" x14ac:dyDescent="0.25">
      <c r="A17" s="1">
        <v>42114</v>
      </c>
      <c r="B17">
        <v>177</v>
      </c>
      <c r="C17">
        <v>2.2479732663618068</v>
      </c>
      <c r="D17">
        <v>177</v>
      </c>
      <c r="E17">
        <v>2.2479732663618068</v>
      </c>
    </row>
    <row r="18" spans="1:5" x14ac:dyDescent="0.25">
      <c r="A18" s="1">
        <v>42121</v>
      </c>
      <c r="B18">
        <v>167</v>
      </c>
      <c r="C18">
        <v>2.2227164711475833</v>
      </c>
      <c r="D18">
        <v>167</v>
      </c>
      <c r="E18">
        <v>2.2227164711475833</v>
      </c>
    </row>
    <row r="19" spans="1:5" x14ac:dyDescent="0.25">
      <c r="A19" s="1">
        <v>42128</v>
      </c>
      <c r="B19">
        <v>179</v>
      </c>
      <c r="C19">
        <v>2.2528530309798933</v>
      </c>
      <c r="D19">
        <v>179</v>
      </c>
      <c r="E19">
        <v>2.2528530309798933</v>
      </c>
    </row>
    <row r="20" spans="1:5" x14ac:dyDescent="0.25">
      <c r="A20" s="1">
        <v>42135</v>
      </c>
      <c r="B20">
        <v>147</v>
      </c>
      <c r="C20">
        <v>2.167317334748176</v>
      </c>
      <c r="D20">
        <v>147</v>
      </c>
      <c r="E20">
        <v>2.167317334748176</v>
      </c>
    </row>
    <row r="21" spans="1:5" x14ac:dyDescent="0.25">
      <c r="A21" s="1">
        <v>42142</v>
      </c>
      <c r="B21">
        <v>155</v>
      </c>
      <c r="C21">
        <v>2.1903316981702914</v>
      </c>
      <c r="D21">
        <v>155</v>
      </c>
      <c r="E21">
        <v>2.1903316981702914</v>
      </c>
    </row>
    <row r="22" spans="1:5" x14ac:dyDescent="0.25">
      <c r="A22" s="1">
        <v>42149</v>
      </c>
      <c r="B22">
        <v>171</v>
      </c>
      <c r="C22">
        <v>2.2329961103921536</v>
      </c>
      <c r="D22">
        <v>171</v>
      </c>
      <c r="E22">
        <v>2.2329961103921536</v>
      </c>
    </row>
    <row r="23" spans="1:5" x14ac:dyDescent="0.25">
      <c r="A23" s="1">
        <v>42156</v>
      </c>
      <c r="B23">
        <v>153</v>
      </c>
      <c r="C23">
        <v>2.1846914308175989</v>
      </c>
      <c r="D23">
        <v>153</v>
      </c>
      <c r="E23">
        <v>2.1846914308175989</v>
      </c>
    </row>
    <row r="24" spans="1:5" x14ac:dyDescent="0.25">
      <c r="A24" s="1">
        <v>42163</v>
      </c>
      <c r="B24">
        <v>170</v>
      </c>
      <c r="C24">
        <v>2.2304489213782741</v>
      </c>
      <c r="D24">
        <v>170</v>
      </c>
      <c r="E24">
        <v>2.2304489213782741</v>
      </c>
    </row>
    <row r="25" spans="1:5" x14ac:dyDescent="0.25">
      <c r="A25" s="1">
        <v>42170</v>
      </c>
      <c r="B25">
        <v>163</v>
      </c>
      <c r="C25">
        <v>2.2121876044039577</v>
      </c>
      <c r="D25">
        <v>163</v>
      </c>
      <c r="E25">
        <v>2.2121876044039577</v>
      </c>
    </row>
    <row r="26" spans="1:5" x14ac:dyDescent="0.25">
      <c r="A26" s="1">
        <v>42177</v>
      </c>
      <c r="B26">
        <v>152</v>
      </c>
      <c r="C26">
        <v>2.1818435879447726</v>
      </c>
      <c r="D26">
        <v>152</v>
      </c>
      <c r="E26">
        <v>2.1818435879447726</v>
      </c>
    </row>
    <row r="27" spans="1:5" x14ac:dyDescent="0.25">
      <c r="A27" s="1">
        <v>42184</v>
      </c>
      <c r="B27">
        <v>194</v>
      </c>
      <c r="C27">
        <v>2.287801729930226</v>
      </c>
      <c r="D27">
        <v>194</v>
      </c>
      <c r="E27">
        <v>2.287801729930226</v>
      </c>
    </row>
    <row r="28" spans="1:5" x14ac:dyDescent="0.25">
      <c r="A28" s="1">
        <v>42191</v>
      </c>
      <c r="B28">
        <v>184</v>
      </c>
      <c r="C28">
        <v>2.2648178230095364</v>
      </c>
      <c r="D28">
        <v>184</v>
      </c>
      <c r="E28">
        <v>2.2648178230095364</v>
      </c>
    </row>
    <row r="29" spans="1:5" x14ac:dyDescent="0.25">
      <c r="A29" s="1">
        <v>42198</v>
      </c>
      <c r="B29">
        <v>145</v>
      </c>
      <c r="C29">
        <v>2.1613680022349748</v>
      </c>
      <c r="D29">
        <v>145</v>
      </c>
      <c r="E29">
        <v>2.1613680022349748</v>
      </c>
    </row>
    <row r="30" spans="1:5" x14ac:dyDescent="0.25">
      <c r="A30" s="1">
        <v>42205</v>
      </c>
      <c r="B30">
        <v>145</v>
      </c>
      <c r="C30">
        <v>2.1613680022349748</v>
      </c>
      <c r="D30">
        <v>145</v>
      </c>
      <c r="E30">
        <v>2.1613680022349748</v>
      </c>
    </row>
    <row r="31" spans="1:5" x14ac:dyDescent="0.25">
      <c r="A31" s="1">
        <v>42212</v>
      </c>
      <c r="B31">
        <v>166</v>
      </c>
      <c r="C31">
        <v>2.220108088040055</v>
      </c>
      <c r="D31">
        <v>166</v>
      </c>
      <c r="E31">
        <v>2.220108088040055</v>
      </c>
    </row>
    <row r="32" spans="1:5" x14ac:dyDescent="0.25">
      <c r="A32" s="1">
        <v>42219</v>
      </c>
      <c r="B32">
        <v>192</v>
      </c>
      <c r="C32">
        <v>2.2833012287035497</v>
      </c>
      <c r="D32">
        <v>192</v>
      </c>
      <c r="E32">
        <v>2.2833012287035497</v>
      </c>
    </row>
    <row r="33" spans="1:5" x14ac:dyDescent="0.25">
      <c r="A33" s="1">
        <v>42226</v>
      </c>
      <c r="B33">
        <v>157</v>
      </c>
      <c r="C33">
        <v>2.1958996524092336</v>
      </c>
      <c r="D33">
        <v>157</v>
      </c>
      <c r="E33">
        <v>2.1958996524092336</v>
      </c>
    </row>
    <row r="34" spans="1:5" x14ac:dyDescent="0.25">
      <c r="A34" s="1">
        <v>42233</v>
      </c>
      <c r="B34">
        <v>138</v>
      </c>
      <c r="C34">
        <v>2.1398790864012365</v>
      </c>
      <c r="D34">
        <v>138</v>
      </c>
      <c r="E34">
        <v>2.1398790864012365</v>
      </c>
    </row>
    <row r="35" spans="1:5" x14ac:dyDescent="0.25">
      <c r="A35" s="1">
        <v>42240</v>
      </c>
      <c r="B35">
        <v>173</v>
      </c>
      <c r="C35">
        <v>2.2380461031287955</v>
      </c>
      <c r="D35">
        <v>173</v>
      </c>
      <c r="E35">
        <v>2.2380461031287955</v>
      </c>
    </row>
    <row r="36" spans="1:5" x14ac:dyDescent="0.25">
      <c r="A36" s="1">
        <v>42247</v>
      </c>
      <c r="B36">
        <v>161</v>
      </c>
      <c r="C36">
        <v>2.2068258760318495</v>
      </c>
      <c r="D36">
        <v>161</v>
      </c>
      <c r="E36">
        <v>2.2068258760318495</v>
      </c>
    </row>
    <row r="37" spans="1:5" x14ac:dyDescent="0.25">
      <c r="A37" s="1">
        <v>42254</v>
      </c>
      <c r="B37">
        <v>149</v>
      </c>
      <c r="C37">
        <v>2.173186268412274</v>
      </c>
      <c r="D37">
        <v>149</v>
      </c>
      <c r="E37">
        <v>2.173186268412274</v>
      </c>
    </row>
    <row r="38" spans="1:5" x14ac:dyDescent="0.25">
      <c r="A38" s="1">
        <v>42261</v>
      </c>
      <c r="B38">
        <v>155</v>
      </c>
      <c r="C38">
        <v>2.1903316981702914</v>
      </c>
      <c r="D38">
        <v>155</v>
      </c>
      <c r="E38">
        <v>2.1903316981702914</v>
      </c>
    </row>
    <row r="39" spans="1:5" x14ac:dyDescent="0.25">
      <c r="A39" s="1">
        <v>42268</v>
      </c>
      <c r="B39">
        <v>160</v>
      </c>
      <c r="C39">
        <v>2.2041199826559246</v>
      </c>
      <c r="D39">
        <v>160</v>
      </c>
      <c r="E39">
        <v>2.2041199826559246</v>
      </c>
    </row>
    <row r="40" spans="1:5" x14ac:dyDescent="0.25">
      <c r="A40" s="1">
        <v>42275</v>
      </c>
      <c r="B40">
        <v>176</v>
      </c>
      <c r="C40">
        <v>2.2455126678141499</v>
      </c>
      <c r="D40">
        <v>176</v>
      </c>
      <c r="E40">
        <v>2.2455126678141499</v>
      </c>
    </row>
    <row r="41" spans="1:5" x14ac:dyDescent="0.25">
      <c r="A41" s="1">
        <v>42282</v>
      </c>
      <c r="B41">
        <v>182</v>
      </c>
      <c r="C41">
        <v>2.2600713879850747</v>
      </c>
      <c r="D41">
        <v>182</v>
      </c>
      <c r="E41">
        <v>2.2600713879850747</v>
      </c>
    </row>
    <row r="42" spans="1:5" x14ac:dyDescent="0.25">
      <c r="A42" s="1">
        <v>42289</v>
      </c>
      <c r="B42">
        <v>166</v>
      </c>
      <c r="C42">
        <v>2.220108088040055</v>
      </c>
      <c r="D42">
        <v>166</v>
      </c>
      <c r="E42">
        <v>2.220108088040055</v>
      </c>
    </row>
    <row r="43" spans="1:5" x14ac:dyDescent="0.25">
      <c r="A43" s="1">
        <v>42296</v>
      </c>
      <c r="B43">
        <v>178</v>
      </c>
      <c r="C43">
        <v>2.2504200023088941</v>
      </c>
      <c r="D43">
        <v>178</v>
      </c>
      <c r="E43">
        <v>2.2504200023088941</v>
      </c>
    </row>
    <row r="44" spans="1:5" x14ac:dyDescent="0.25">
      <c r="A44" s="1">
        <v>42303</v>
      </c>
      <c r="B44">
        <v>165</v>
      </c>
      <c r="C44">
        <v>2.2174839442139063</v>
      </c>
      <c r="D44">
        <v>165</v>
      </c>
      <c r="E44">
        <v>2.2174839442139063</v>
      </c>
    </row>
    <row r="45" spans="1:5" x14ac:dyDescent="0.25">
      <c r="A45" s="1">
        <v>42310</v>
      </c>
      <c r="B45">
        <v>163</v>
      </c>
      <c r="C45">
        <v>2.2121876044039577</v>
      </c>
      <c r="D45">
        <v>163</v>
      </c>
      <c r="E45">
        <v>2.2121876044039577</v>
      </c>
    </row>
    <row r="46" spans="1:5" x14ac:dyDescent="0.25">
      <c r="A46" s="1">
        <v>42317</v>
      </c>
      <c r="B46">
        <v>171</v>
      </c>
      <c r="C46">
        <v>2.2329961103921536</v>
      </c>
      <c r="D46">
        <v>171</v>
      </c>
      <c r="E46">
        <v>2.2329961103921536</v>
      </c>
    </row>
    <row r="47" spans="1:5" x14ac:dyDescent="0.25">
      <c r="A47" s="1">
        <v>42324</v>
      </c>
      <c r="B47">
        <v>194</v>
      </c>
      <c r="C47">
        <v>2.287801729930226</v>
      </c>
      <c r="D47">
        <v>194</v>
      </c>
      <c r="E47">
        <v>2.287801729930226</v>
      </c>
    </row>
    <row r="48" spans="1:5" x14ac:dyDescent="0.25">
      <c r="A48" s="1">
        <v>42331</v>
      </c>
      <c r="B48">
        <v>176</v>
      </c>
      <c r="C48">
        <v>2.2455126678141499</v>
      </c>
      <c r="D48">
        <v>176</v>
      </c>
      <c r="E48">
        <v>2.2455126678141499</v>
      </c>
    </row>
    <row r="49" spans="1:5" x14ac:dyDescent="0.25">
      <c r="A49" s="1">
        <v>42338</v>
      </c>
      <c r="B49">
        <v>147</v>
      </c>
      <c r="C49">
        <v>2.167317334748176</v>
      </c>
      <c r="D49">
        <v>147</v>
      </c>
      <c r="E49">
        <v>2.167317334748176</v>
      </c>
    </row>
    <row r="50" spans="1:5" x14ac:dyDescent="0.25">
      <c r="A50" s="1">
        <v>42345</v>
      </c>
      <c r="B50">
        <v>176</v>
      </c>
      <c r="C50">
        <v>2.2455126678141499</v>
      </c>
      <c r="D50">
        <v>176</v>
      </c>
      <c r="E50">
        <v>2.2455126678141499</v>
      </c>
    </row>
    <row r="51" spans="1:5" x14ac:dyDescent="0.25">
      <c r="A51" s="1">
        <v>42352</v>
      </c>
      <c r="B51">
        <v>156</v>
      </c>
      <c r="C51">
        <v>2.1931245983544616</v>
      </c>
      <c r="D51">
        <v>156</v>
      </c>
      <c r="E51">
        <v>2.1931245983544616</v>
      </c>
    </row>
    <row r="52" spans="1:5" x14ac:dyDescent="0.25">
      <c r="A52" s="1">
        <v>42359</v>
      </c>
      <c r="B52">
        <v>151</v>
      </c>
      <c r="C52">
        <v>2.1789769472931693</v>
      </c>
      <c r="D52">
        <v>151</v>
      </c>
      <c r="E52">
        <v>2.1789769472931693</v>
      </c>
    </row>
    <row r="53" spans="1:5" x14ac:dyDescent="0.25">
      <c r="A53" s="1">
        <v>42366</v>
      </c>
      <c r="B53">
        <v>163</v>
      </c>
      <c r="C53">
        <v>2.2121876044039577</v>
      </c>
      <c r="D53">
        <v>163</v>
      </c>
      <c r="E53">
        <v>2.2121876044039577</v>
      </c>
    </row>
    <row r="54" spans="1:5" x14ac:dyDescent="0.25">
      <c r="A54" s="1">
        <v>42373</v>
      </c>
      <c r="B54">
        <v>171</v>
      </c>
      <c r="C54">
        <v>2.2329961103921536</v>
      </c>
      <c r="D54">
        <v>171</v>
      </c>
      <c r="E54">
        <v>2.2329961103921536</v>
      </c>
    </row>
    <row r="55" spans="1:5" x14ac:dyDescent="0.25">
      <c r="A55" s="1">
        <v>42380</v>
      </c>
      <c r="B55">
        <v>191</v>
      </c>
      <c r="C55">
        <v>2.2810333672477277</v>
      </c>
      <c r="D55">
        <v>191</v>
      </c>
      <c r="E55">
        <v>2.2810333672477277</v>
      </c>
    </row>
    <row r="56" spans="1:5" x14ac:dyDescent="0.25">
      <c r="A56" s="1">
        <v>42387</v>
      </c>
      <c r="B56">
        <v>182</v>
      </c>
      <c r="C56">
        <v>2.2600713879850747</v>
      </c>
      <c r="D56">
        <v>182</v>
      </c>
      <c r="E56">
        <v>2.2600713879850747</v>
      </c>
    </row>
    <row r="57" spans="1:5" x14ac:dyDescent="0.25">
      <c r="A57" s="1">
        <v>42394</v>
      </c>
      <c r="B57">
        <v>195</v>
      </c>
      <c r="C57">
        <v>2.2900346113625178</v>
      </c>
      <c r="D57">
        <v>195</v>
      </c>
      <c r="E57">
        <v>2.2900346113625178</v>
      </c>
    </row>
    <row r="58" spans="1:5" x14ac:dyDescent="0.25">
      <c r="A58" s="1">
        <v>42401</v>
      </c>
      <c r="B58">
        <v>192</v>
      </c>
      <c r="C58">
        <v>2.2833012287035497</v>
      </c>
      <c r="D58">
        <v>192</v>
      </c>
      <c r="E58">
        <v>2.2833012287035497</v>
      </c>
    </row>
    <row r="59" spans="1:5" x14ac:dyDescent="0.25">
      <c r="A59" s="1">
        <v>42408</v>
      </c>
      <c r="B59">
        <v>167</v>
      </c>
      <c r="C59">
        <v>2.2227164711475833</v>
      </c>
      <c r="D59">
        <v>167</v>
      </c>
      <c r="E59">
        <v>2.2227164711475833</v>
      </c>
    </row>
    <row r="60" spans="1:5" x14ac:dyDescent="0.25">
      <c r="A60" s="1">
        <v>42415</v>
      </c>
      <c r="B60">
        <v>166</v>
      </c>
      <c r="C60">
        <v>2.220108088040055</v>
      </c>
      <c r="D60">
        <v>166</v>
      </c>
      <c r="E60">
        <v>2.220108088040055</v>
      </c>
    </row>
    <row r="61" spans="1:5" x14ac:dyDescent="0.25">
      <c r="A61" s="1">
        <v>42422</v>
      </c>
      <c r="B61">
        <v>192</v>
      </c>
      <c r="C61">
        <v>2.2833012287035497</v>
      </c>
      <c r="D61">
        <v>192</v>
      </c>
      <c r="E61">
        <v>2.2833012287035497</v>
      </c>
    </row>
    <row r="62" spans="1:5" x14ac:dyDescent="0.25">
      <c r="A62" s="1">
        <v>42429</v>
      </c>
      <c r="B62">
        <v>186</v>
      </c>
      <c r="C62">
        <v>2.2695129442179165</v>
      </c>
      <c r="D62">
        <v>186</v>
      </c>
      <c r="E62">
        <v>2.2695129442179165</v>
      </c>
    </row>
    <row r="63" spans="1:5" x14ac:dyDescent="0.25">
      <c r="A63" s="1">
        <v>42436</v>
      </c>
      <c r="B63">
        <v>194</v>
      </c>
      <c r="C63">
        <v>2.287801729930226</v>
      </c>
      <c r="D63">
        <v>194</v>
      </c>
      <c r="E63">
        <v>2.287801729930226</v>
      </c>
    </row>
    <row r="64" spans="1:5" x14ac:dyDescent="0.25">
      <c r="A64" s="1">
        <v>42443</v>
      </c>
      <c r="B64">
        <v>193</v>
      </c>
      <c r="C64">
        <v>2.2855573090077739</v>
      </c>
      <c r="D64">
        <v>193</v>
      </c>
      <c r="E64">
        <v>2.2855573090077739</v>
      </c>
    </row>
    <row r="65" spans="1:5" x14ac:dyDescent="0.25">
      <c r="A65" s="1">
        <v>42450</v>
      </c>
      <c r="B65">
        <v>232</v>
      </c>
      <c r="C65">
        <v>2.3654879848908998</v>
      </c>
      <c r="D65">
        <v>232</v>
      </c>
      <c r="E65">
        <v>2.3654879848908998</v>
      </c>
    </row>
    <row r="66" spans="1:5" x14ac:dyDescent="0.25">
      <c r="A66" s="1">
        <v>42457</v>
      </c>
      <c r="B66">
        <v>179</v>
      </c>
      <c r="C66">
        <v>2.2528530309798933</v>
      </c>
      <c r="D66">
        <v>179</v>
      </c>
      <c r="E66">
        <v>2.2528530309798933</v>
      </c>
    </row>
    <row r="67" spans="1:5" x14ac:dyDescent="0.25">
      <c r="A67" s="1">
        <v>42464</v>
      </c>
      <c r="B67">
        <v>157</v>
      </c>
      <c r="C67">
        <v>2.1958996524092336</v>
      </c>
      <c r="D67">
        <v>157</v>
      </c>
      <c r="E67">
        <v>2.1958996524092336</v>
      </c>
    </row>
    <row r="68" spans="1:5" x14ac:dyDescent="0.25">
      <c r="A68" s="1">
        <v>42471</v>
      </c>
      <c r="B68">
        <v>178</v>
      </c>
      <c r="C68">
        <v>2.2504200023088941</v>
      </c>
      <c r="D68">
        <v>178</v>
      </c>
      <c r="E68">
        <v>2.2504200023088941</v>
      </c>
    </row>
    <row r="69" spans="1:5" x14ac:dyDescent="0.25">
      <c r="A69" s="1">
        <v>42478</v>
      </c>
      <c r="B69">
        <v>179</v>
      </c>
      <c r="C69">
        <v>2.2528530309798933</v>
      </c>
      <c r="D69">
        <v>179</v>
      </c>
      <c r="E69">
        <v>2.2528530309798933</v>
      </c>
    </row>
    <row r="70" spans="1:5" x14ac:dyDescent="0.25">
      <c r="A70" s="1">
        <v>42485</v>
      </c>
      <c r="B70">
        <v>168</v>
      </c>
      <c r="C70">
        <v>2.2253092817258628</v>
      </c>
      <c r="D70">
        <v>168</v>
      </c>
      <c r="E70">
        <v>2.2253092817258628</v>
      </c>
    </row>
    <row r="71" spans="1:5" x14ac:dyDescent="0.25">
      <c r="A71" s="1">
        <v>42492</v>
      </c>
      <c r="B71">
        <v>177</v>
      </c>
      <c r="C71">
        <v>2.2479732663618068</v>
      </c>
      <c r="D71">
        <v>177</v>
      </c>
      <c r="E71">
        <v>2.2479732663618068</v>
      </c>
    </row>
    <row r="72" spans="1:5" x14ac:dyDescent="0.25">
      <c r="A72" s="1">
        <v>42499</v>
      </c>
      <c r="B72">
        <v>177</v>
      </c>
      <c r="C72">
        <v>2.2479732663618068</v>
      </c>
      <c r="D72">
        <v>177</v>
      </c>
      <c r="E72">
        <v>2.2479732663618068</v>
      </c>
    </row>
    <row r="73" spans="1:5" x14ac:dyDescent="0.25">
      <c r="A73" s="1">
        <v>42506</v>
      </c>
      <c r="B73">
        <v>146</v>
      </c>
      <c r="C73">
        <v>2.1643528557844371</v>
      </c>
      <c r="D73">
        <v>146</v>
      </c>
      <c r="E73">
        <v>2.1643528557844371</v>
      </c>
    </row>
    <row r="74" spans="1:5" x14ac:dyDescent="0.25">
      <c r="A74" s="1">
        <v>42513</v>
      </c>
      <c r="B74">
        <v>172</v>
      </c>
      <c r="C74">
        <v>2.2355284469075487</v>
      </c>
      <c r="D74">
        <v>172</v>
      </c>
      <c r="E74">
        <v>2.2355284469075487</v>
      </c>
    </row>
    <row r="75" spans="1:5" x14ac:dyDescent="0.25">
      <c r="A75" s="1">
        <v>42520</v>
      </c>
      <c r="B75">
        <v>151</v>
      </c>
      <c r="C75">
        <v>2.1789769472931693</v>
      </c>
      <c r="D75">
        <v>151</v>
      </c>
      <c r="E75">
        <v>2.1789769472931693</v>
      </c>
    </row>
    <row r="76" spans="1:5" x14ac:dyDescent="0.25">
      <c r="A76" s="1">
        <v>42527</v>
      </c>
      <c r="B76">
        <v>146</v>
      </c>
      <c r="C76">
        <v>2.1643528557844371</v>
      </c>
      <c r="D76">
        <v>146</v>
      </c>
      <c r="E76">
        <v>2.1643528557844371</v>
      </c>
    </row>
    <row r="77" spans="1:5" x14ac:dyDescent="0.25">
      <c r="A77" s="1">
        <v>42534</v>
      </c>
      <c r="B77">
        <v>178</v>
      </c>
      <c r="C77">
        <v>2.2504200023088941</v>
      </c>
      <c r="D77">
        <v>178</v>
      </c>
      <c r="E77">
        <v>2.2504200023088941</v>
      </c>
    </row>
    <row r="78" spans="1:5" x14ac:dyDescent="0.25">
      <c r="A78" s="1">
        <v>42541</v>
      </c>
      <c r="B78">
        <v>162</v>
      </c>
      <c r="C78">
        <v>2.2095150145426308</v>
      </c>
      <c r="D78">
        <v>162</v>
      </c>
      <c r="E78">
        <v>2.2095150145426308</v>
      </c>
    </row>
    <row r="79" spans="1:5" x14ac:dyDescent="0.25">
      <c r="A79" s="1">
        <v>42548</v>
      </c>
      <c r="B79">
        <v>155</v>
      </c>
      <c r="C79">
        <v>2.1903316981702914</v>
      </c>
      <c r="D79">
        <v>155</v>
      </c>
      <c r="E79">
        <v>2.1903316981702914</v>
      </c>
    </row>
    <row r="80" spans="1:5" x14ac:dyDescent="0.25">
      <c r="A80" s="1">
        <v>42555</v>
      </c>
      <c r="B80">
        <v>155</v>
      </c>
      <c r="C80">
        <v>2.1903316981702914</v>
      </c>
      <c r="D80">
        <v>155</v>
      </c>
      <c r="E80">
        <v>2.1903316981702914</v>
      </c>
    </row>
    <row r="81" spans="1:5" x14ac:dyDescent="0.25">
      <c r="A81" s="1">
        <v>42562</v>
      </c>
      <c r="B81">
        <v>160</v>
      </c>
      <c r="C81">
        <v>2.2041199826559246</v>
      </c>
      <c r="D81">
        <v>160</v>
      </c>
      <c r="E81">
        <v>2.2041199826559246</v>
      </c>
    </row>
    <row r="82" spans="1:5" x14ac:dyDescent="0.25">
      <c r="A82" s="1">
        <v>42569</v>
      </c>
      <c r="B82">
        <v>193</v>
      </c>
      <c r="C82">
        <v>2.2855573090077739</v>
      </c>
      <c r="D82">
        <v>193</v>
      </c>
      <c r="E82">
        <v>2.2855573090077739</v>
      </c>
    </row>
    <row r="83" spans="1:5" x14ac:dyDescent="0.25">
      <c r="A83" s="1">
        <v>42576</v>
      </c>
      <c r="B83">
        <v>166</v>
      </c>
      <c r="C83">
        <v>2.220108088040055</v>
      </c>
      <c r="D83">
        <v>166</v>
      </c>
      <c r="E83">
        <v>2.220108088040055</v>
      </c>
    </row>
    <row r="84" spans="1:5" x14ac:dyDescent="0.25">
      <c r="A84" s="1">
        <v>42583</v>
      </c>
      <c r="B84">
        <v>144</v>
      </c>
      <c r="C84">
        <v>2.1583624920952498</v>
      </c>
      <c r="D84">
        <v>144</v>
      </c>
      <c r="E84">
        <v>2.1583624920952498</v>
      </c>
    </row>
    <row r="85" spans="1:5" x14ac:dyDescent="0.25">
      <c r="A85" s="1">
        <v>42590</v>
      </c>
      <c r="B85">
        <v>167</v>
      </c>
      <c r="C85">
        <v>2.2227164711475833</v>
      </c>
      <c r="D85">
        <v>167</v>
      </c>
      <c r="E85">
        <v>2.2227164711475833</v>
      </c>
    </row>
    <row r="86" spans="1:5" x14ac:dyDescent="0.25">
      <c r="A86" s="1">
        <v>42597</v>
      </c>
      <c r="B86">
        <v>149</v>
      </c>
      <c r="C86">
        <v>2.173186268412274</v>
      </c>
      <c r="D86">
        <v>149</v>
      </c>
      <c r="E86">
        <v>2.173186268412274</v>
      </c>
    </row>
    <row r="87" spans="1:5" x14ac:dyDescent="0.25">
      <c r="A87" s="1">
        <v>42604</v>
      </c>
      <c r="B87">
        <v>178</v>
      </c>
      <c r="C87">
        <v>2.2504200023088941</v>
      </c>
      <c r="D87">
        <v>178</v>
      </c>
      <c r="E87">
        <v>2.2504200023088941</v>
      </c>
    </row>
    <row r="88" spans="1:5" x14ac:dyDescent="0.25">
      <c r="A88" s="1">
        <v>42611</v>
      </c>
      <c r="B88">
        <v>155</v>
      </c>
      <c r="C88">
        <v>2.1903316981702914</v>
      </c>
      <c r="D88">
        <v>155</v>
      </c>
      <c r="E88">
        <v>2.1903316981702914</v>
      </c>
    </row>
    <row r="89" spans="1:5" x14ac:dyDescent="0.25">
      <c r="A89" s="1">
        <v>42618</v>
      </c>
      <c r="B89">
        <v>156</v>
      </c>
      <c r="C89">
        <v>2.1931245983544616</v>
      </c>
      <c r="D89">
        <v>156</v>
      </c>
      <c r="E89">
        <v>2.1931245983544616</v>
      </c>
    </row>
    <row r="90" spans="1:5" x14ac:dyDescent="0.25">
      <c r="A90" s="1">
        <v>42625</v>
      </c>
      <c r="B90">
        <v>166</v>
      </c>
      <c r="C90">
        <v>2.220108088040055</v>
      </c>
      <c r="D90">
        <v>166</v>
      </c>
      <c r="E90">
        <v>2.220108088040055</v>
      </c>
    </row>
    <row r="91" spans="1:5" x14ac:dyDescent="0.25">
      <c r="A91" s="1">
        <v>42632</v>
      </c>
      <c r="B91">
        <v>133</v>
      </c>
      <c r="C91">
        <v>2.1238516409670858</v>
      </c>
      <c r="D91">
        <v>133</v>
      </c>
      <c r="E91">
        <v>2.1238516409670858</v>
      </c>
    </row>
    <row r="92" spans="1:5" x14ac:dyDescent="0.25">
      <c r="A92" s="1">
        <v>42639</v>
      </c>
      <c r="B92">
        <v>165</v>
      </c>
      <c r="C92">
        <v>2.2174839442139063</v>
      </c>
      <c r="D92">
        <v>165</v>
      </c>
      <c r="E92">
        <v>2.2174839442139063</v>
      </c>
    </row>
    <row r="93" spans="1:5" x14ac:dyDescent="0.25">
      <c r="A93" s="1">
        <v>42646</v>
      </c>
      <c r="B93">
        <v>155</v>
      </c>
      <c r="C93">
        <v>2.1903316981702914</v>
      </c>
      <c r="D93">
        <v>155</v>
      </c>
      <c r="E93">
        <v>2.1903316981702914</v>
      </c>
    </row>
    <row r="94" spans="1:5" x14ac:dyDescent="0.25">
      <c r="A94" s="1">
        <v>42653</v>
      </c>
      <c r="B94">
        <v>170</v>
      </c>
      <c r="C94">
        <v>2.2304489213782741</v>
      </c>
      <c r="D94">
        <v>170</v>
      </c>
      <c r="E94">
        <v>2.2304489213782741</v>
      </c>
    </row>
    <row r="95" spans="1:5" x14ac:dyDescent="0.25">
      <c r="A95" s="1">
        <v>42660</v>
      </c>
      <c r="B95">
        <v>181</v>
      </c>
      <c r="C95">
        <v>2.2576785748691846</v>
      </c>
      <c r="D95">
        <v>181</v>
      </c>
      <c r="E95">
        <v>2.2576785748691846</v>
      </c>
    </row>
    <row r="96" spans="1:5" x14ac:dyDescent="0.25">
      <c r="A96" s="1">
        <v>42667</v>
      </c>
      <c r="B96">
        <v>165</v>
      </c>
      <c r="C96">
        <v>2.2174839442139063</v>
      </c>
      <c r="D96">
        <v>165</v>
      </c>
      <c r="E96">
        <v>2.2174839442139063</v>
      </c>
    </row>
    <row r="97" spans="1:5" x14ac:dyDescent="0.25">
      <c r="A97" s="1">
        <v>42674</v>
      </c>
      <c r="B97">
        <v>165</v>
      </c>
      <c r="C97">
        <v>2.2174839442139063</v>
      </c>
      <c r="D97">
        <v>165</v>
      </c>
      <c r="E97">
        <v>2.2174839442139063</v>
      </c>
    </row>
    <row r="98" spans="1:5" x14ac:dyDescent="0.25">
      <c r="A98" s="1">
        <v>42681</v>
      </c>
      <c r="B98">
        <v>193</v>
      </c>
      <c r="C98">
        <v>2.2855573090077739</v>
      </c>
      <c r="D98">
        <v>193</v>
      </c>
      <c r="E98">
        <v>2.2855573090077739</v>
      </c>
    </row>
    <row r="99" spans="1:5" x14ac:dyDescent="0.25">
      <c r="A99" s="1">
        <v>42688</v>
      </c>
      <c r="B99">
        <v>190</v>
      </c>
      <c r="C99">
        <v>2.2787536009528289</v>
      </c>
      <c r="D99">
        <v>190</v>
      </c>
      <c r="E99">
        <v>2.2787536009528289</v>
      </c>
    </row>
    <row r="100" spans="1:5" x14ac:dyDescent="0.25">
      <c r="A100" s="1">
        <v>42695</v>
      </c>
      <c r="B100">
        <v>186</v>
      </c>
      <c r="C100">
        <v>2.2695129442179165</v>
      </c>
      <c r="D100">
        <v>186</v>
      </c>
      <c r="E100">
        <v>2.2695129442179165</v>
      </c>
    </row>
    <row r="101" spans="1:5" x14ac:dyDescent="0.25">
      <c r="A101" s="1">
        <v>42702</v>
      </c>
      <c r="B101">
        <v>192</v>
      </c>
      <c r="C101">
        <v>2.2833012287035497</v>
      </c>
      <c r="D101">
        <v>192</v>
      </c>
      <c r="E101">
        <v>2.2833012287035497</v>
      </c>
    </row>
    <row r="102" spans="1:5" x14ac:dyDescent="0.25">
      <c r="A102" s="1">
        <v>42709</v>
      </c>
      <c r="B102">
        <v>178</v>
      </c>
      <c r="C102">
        <v>2.2504200023088941</v>
      </c>
      <c r="D102">
        <v>178</v>
      </c>
      <c r="E102">
        <v>2.2504200023088941</v>
      </c>
    </row>
    <row r="103" spans="1:5" x14ac:dyDescent="0.25">
      <c r="A103" s="1">
        <v>42716</v>
      </c>
      <c r="B103">
        <v>194</v>
      </c>
      <c r="C103">
        <v>2.287801729930226</v>
      </c>
      <c r="D103">
        <v>194</v>
      </c>
      <c r="E103">
        <v>2.287801729930226</v>
      </c>
    </row>
    <row r="104" spans="1:5" x14ac:dyDescent="0.25">
      <c r="A104" s="1">
        <v>42723</v>
      </c>
      <c r="B104">
        <v>158</v>
      </c>
      <c r="C104">
        <v>2.1986570869544226</v>
      </c>
      <c r="D104">
        <v>158</v>
      </c>
      <c r="E104">
        <v>2.1986570869544226</v>
      </c>
    </row>
    <row r="105" spans="1:5" x14ac:dyDescent="0.25">
      <c r="A105" s="1">
        <v>42730</v>
      </c>
      <c r="B105">
        <v>221</v>
      </c>
      <c r="C105">
        <v>2.3443922736851106</v>
      </c>
      <c r="D105">
        <v>221</v>
      </c>
      <c r="E105">
        <v>2.3443922736851106</v>
      </c>
    </row>
    <row r="106" spans="1:5" x14ac:dyDescent="0.25">
      <c r="A106" s="1">
        <v>42737</v>
      </c>
      <c r="B106">
        <v>198</v>
      </c>
      <c r="C106">
        <v>2.2966651902615309</v>
      </c>
      <c r="D106">
        <v>198</v>
      </c>
      <c r="E106">
        <v>2.2966651902615309</v>
      </c>
    </row>
    <row r="107" spans="1:5" x14ac:dyDescent="0.25">
      <c r="A107" s="1">
        <v>42744</v>
      </c>
      <c r="B107">
        <v>229</v>
      </c>
      <c r="C107">
        <v>2.3598354823398879</v>
      </c>
      <c r="D107">
        <v>229</v>
      </c>
      <c r="E107">
        <v>2.3598354823398879</v>
      </c>
    </row>
    <row r="108" spans="1:5" x14ac:dyDescent="0.25">
      <c r="A108" s="1">
        <v>42751</v>
      </c>
      <c r="B108">
        <v>217</v>
      </c>
      <c r="C108">
        <v>2.3364597338485296</v>
      </c>
      <c r="D108">
        <v>217</v>
      </c>
      <c r="E108">
        <v>2.3364597338485296</v>
      </c>
    </row>
    <row r="109" spans="1:5" x14ac:dyDescent="0.25">
      <c r="A109" s="1">
        <v>42758</v>
      </c>
      <c r="B109">
        <v>219</v>
      </c>
      <c r="C109">
        <v>2.3404441148401185</v>
      </c>
      <c r="D109">
        <v>219</v>
      </c>
      <c r="E109">
        <v>2.3404441148401185</v>
      </c>
    </row>
    <row r="110" spans="1:5" x14ac:dyDescent="0.25">
      <c r="A110" s="1">
        <v>42765</v>
      </c>
      <c r="B110">
        <v>220</v>
      </c>
      <c r="C110">
        <v>2.3424226808222062</v>
      </c>
      <c r="D110">
        <v>220</v>
      </c>
      <c r="E110">
        <v>2.3424226808222062</v>
      </c>
    </row>
    <row r="111" spans="1:5" x14ac:dyDescent="0.25">
      <c r="A111" s="1">
        <v>42772</v>
      </c>
      <c r="B111">
        <v>183</v>
      </c>
      <c r="C111">
        <v>2.2624510897304293</v>
      </c>
      <c r="D111">
        <v>183</v>
      </c>
      <c r="E111">
        <v>2.2624510897304293</v>
      </c>
    </row>
    <row r="112" spans="1:5" x14ac:dyDescent="0.25">
      <c r="A112" s="1">
        <v>42779</v>
      </c>
      <c r="B112">
        <v>194</v>
      </c>
      <c r="C112">
        <v>2.287801729930226</v>
      </c>
      <c r="D112">
        <v>194</v>
      </c>
      <c r="E112">
        <v>2.287801729930226</v>
      </c>
    </row>
    <row r="113" spans="1:5" x14ac:dyDescent="0.25">
      <c r="A113" s="1">
        <v>42786</v>
      </c>
      <c r="B113">
        <v>197</v>
      </c>
      <c r="C113">
        <v>2.2944662261615929</v>
      </c>
      <c r="D113">
        <v>197</v>
      </c>
      <c r="E113">
        <v>2.2944662261615929</v>
      </c>
    </row>
    <row r="114" spans="1:5" x14ac:dyDescent="0.25">
      <c r="A114" s="1">
        <v>42793</v>
      </c>
      <c r="B114">
        <v>187</v>
      </c>
      <c r="C114">
        <v>2.271841606536499</v>
      </c>
      <c r="D114">
        <v>187</v>
      </c>
      <c r="E114">
        <v>2.271841606536499</v>
      </c>
    </row>
    <row r="115" spans="1:5" x14ac:dyDescent="0.25">
      <c r="A115" s="1">
        <v>42800</v>
      </c>
      <c r="B115">
        <v>195</v>
      </c>
      <c r="C115">
        <v>2.2900346113625178</v>
      </c>
      <c r="D115">
        <v>195</v>
      </c>
      <c r="E115">
        <v>2.2900346113625178</v>
      </c>
    </row>
    <row r="116" spans="1:5" x14ac:dyDescent="0.25">
      <c r="A116" s="1">
        <v>42807</v>
      </c>
      <c r="B116">
        <v>178</v>
      </c>
      <c r="C116">
        <v>2.2504200023088941</v>
      </c>
      <c r="D116">
        <v>178</v>
      </c>
      <c r="E116">
        <v>2.2504200023088941</v>
      </c>
    </row>
    <row r="117" spans="1:5" x14ac:dyDescent="0.25">
      <c r="A117" s="1">
        <v>42814</v>
      </c>
      <c r="B117">
        <v>164</v>
      </c>
      <c r="C117">
        <v>2.214843848047698</v>
      </c>
      <c r="D117">
        <v>164</v>
      </c>
      <c r="E117">
        <v>2.214843848047698</v>
      </c>
    </row>
    <row r="118" spans="1:5" x14ac:dyDescent="0.25">
      <c r="A118" s="1">
        <v>42821</v>
      </c>
      <c r="B118">
        <v>164</v>
      </c>
      <c r="C118">
        <v>2.214843848047698</v>
      </c>
      <c r="D118">
        <v>164</v>
      </c>
      <c r="E118">
        <v>2.214843848047698</v>
      </c>
    </row>
    <row r="119" spans="1:5" x14ac:dyDescent="0.25">
      <c r="A119" s="1">
        <v>42828</v>
      </c>
      <c r="B119">
        <v>147</v>
      </c>
      <c r="C119">
        <v>2.167317334748176</v>
      </c>
      <c r="D119">
        <v>147</v>
      </c>
      <c r="E119">
        <v>2.167317334748176</v>
      </c>
    </row>
    <row r="120" spans="1:5" x14ac:dyDescent="0.25">
      <c r="A120" s="1">
        <v>42835</v>
      </c>
      <c r="B120">
        <v>149</v>
      </c>
      <c r="C120">
        <v>2.173186268412274</v>
      </c>
      <c r="D120">
        <v>149</v>
      </c>
      <c r="E120">
        <v>2.173186268412274</v>
      </c>
    </row>
    <row r="121" spans="1:5" x14ac:dyDescent="0.25">
      <c r="A121" s="1">
        <v>42842</v>
      </c>
      <c r="B121">
        <v>155</v>
      </c>
      <c r="C121">
        <v>2.1903316981702914</v>
      </c>
      <c r="D121">
        <v>155</v>
      </c>
      <c r="E121">
        <v>2.1903316981702914</v>
      </c>
    </row>
    <row r="122" spans="1:5" x14ac:dyDescent="0.25">
      <c r="A122" s="1">
        <v>42849</v>
      </c>
      <c r="B122">
        <v>155</v>
      </c>
      <c r="C122">
        <v>2.1903316981702914</v>
      </c>
      <c r="D122">
        <v>155</v>
      </c>
      <c r="E122">
        <v>2.1903316981702914</v>
      </c>
    </row>
    <row r="123" spans="1:5" x14ac:dyDescent="0.25">
      <c r="A123" s="1">
        <v>42856</v>
      </c>
      <c r="B123">
        <v>179</v>
      </c>
      <c r="C123">
        <v>2.2528530309798933</v>
      </c>
      <c r="D123">
        <v>179</v>
      </c>
      <c r="E123">
        <v>2.2528530309798933</v>
      </c>
    </row>
    <row r="124" spans="1:5" x14ac:dyDescent="0.25">
      <c r="A124" s="1">
        <v>42863</v>
      </c>
      <c r="B124">
        <v>176</v>
      </c>
      <c r="C124">
        <v>2.2455126678141499</v>
      </c>
      <c r="D124">
        <v>176</v>
      </c>
      <c r="E124">
        <v>2.2455126678141499</v>
      </c>
    </row>
    <row r="125" spans="1:5" x14ac:dyDescent="0.25">
      <c r="A125" s="1">
        <v>42870</v>
      </c>
      <c r="B125">
        <v>174</v>
      </c>
      <c r="C125">
        <v>2.2405492482825999</v>
      </c>
      <c r="D125">
        <v>174</v>
      </c>
      <c r="E125">
        <v>2.2405492482825999</v>
      </c>
    </row>
    <row r="126" spans="1:5" x14ac:dyDescent="0.25">
      <c r="A126" s="1">
        <v>42877</v>
      </c>
      <c r="B126">
        <v>144</v>
      </c>
      <c r="C126">
        <v>2.1583624920952498</v>
      </c>
      <c r="D126">
        <v>144</v>
      </c>
      <c r="E126">
        <v>2.1583624920952498</v>
      </c>
    </row>
    <row r="127" spans="1:5" x14ac:dyDescent="0.25">
      <c r="A127" s="1">
        <v>42884</v>
      </c>
      <c r="B127">
        <v>173</v>
      </c>
      <c r="C127">
        <v>2.2380461031287955</v>
      </c>
      <c r="D127">
        <v>173</v>
      </c>
      <c r="E127">
        <v>2.2380461031287955</v>
      </c>
    </row>
    <row r="128" spans="1:5" x14ac:dyDescent="0.25">
      <c r="A128" s="1">
        <v>42891</v>
      </c>
      <c r="B128">
        <v>131</v>
      </c>
      <c r="C128">
        <v>2.1172712956557644</v>
      </c>
      <c r="D128">
        <v>131</v>
      </c>
      <c r="E128">
        <v>2.1172712956557644</v>
      </c>
    </row>
    <row r="129" spans="1:5" x14ac:dyDescent="0.25">
      <c r="A129" s="1">
        <v>42898</v>
      </c>
      <c r="B129">
        <v>156</v>
      </c>
      <c r="C129">
        <v>2.1931245983544616</v>
      </c>
      <c r="D129">
        <v>156</v>
      </c>
      <c r="E129">
        <v>2.1931245983544616</v>
      </c>
    </row>
    <row r="130" spans="1:5" x14ac:dyDescent="0.25">
      <c r="A130" s="1">
        <v>42905</v>
      </c>
      <c r="B130">
        <v>182</v>
      </c>
      <c r="C130">
        <v>2.2600713879850747</v>
      </c>
      <c r="D130">
        <v>182</v>
      </c>
      <c r="E130">
        <v>2.2600713879850747</v>
      </c>
    </row>
    <row r="131" spans="1:5" x14ac:dyDescent="0.25">
      <c r="A131" s="1">
        <v>42912</v>
      </c>
      <c r="B131">
        <v>166</v>
      </c>
      <c r="C131">
        <v>2.220108088040055</v>
      </c>
      <c r="D131">
        <v>166</v>
      </c>
      <c r="E131">
        <v>2.220108088040055</v>
      </c>
    </row>
    <row r="132" spans="1:5" x14ac:dyDescent="0.25">
      <c r="A132" s="1">
        <v>42919</v>
      </c>
      <c r="B132">
        <v>180</v>
      </c>
      <c r="C132">
        <v>2.255272505103306</v>
      </c>
      <c r="D132">
        <v>180</v>
      </c>
      <c r="E132">
        <v>2.255272505103306</v>
      </c>
    </row>
    <row r="133" spans="1:5" x14ac:dyDescent="0.25">
      <c r="A133" s="1">
        <v>42926</v>
      </c>
      <c r="B133">
        <v>185</v>
      </c>
      <c r="C133">
        <v>2.2671717284030137</v>
      </c>
      <c r="D133">
        <v>185</v>
      </c>
      <c r="E133">
        <v>2.2671717284030137</v>
      </c>
    </row>
    <row r="134" spans="1:5" x14ac:dyDescent="0.25">
      <c r="A134" s="1">
        <v>42933</v>
      </c>
      <c r="B134">
        <v>159</v>
      </c>
      <c r="C134">
        <v>2.2013971243204513</v>
      </c>
      <c r="D134">
        <v>159</v>
      </c>
      <c r="E134">
        <v>2.2013971243204513</v>
      </c>
    </row>
    <row r="135" spans="1:5" x14ac:dyDescent="0.25">
      <c r="A135" s="1">
        <v>42940</v>
      </c>
      <c r="B135">
        <v>139</v>
      </c>
      <c r="C135">
        <v>2.143014800254095</v>
      </c>
      <c r="D135">
        <v>139</v>
      </c>
      <c r="E135">
        <v>2.143014800254095</v>
      </c>
    </row>
    <row r="136" spans="1:5" x14ac:dyDescent="0.25">
      <c r="A136" s="1">
        <v>42947</v>
      </c>
      <c r="B136">
        <v>158</v>
      </c>
      <c r="C136">
        <v>2.1986570869544226</v>
      </c>
      <c r="D136">
        <v>158</v>
      </c>
      <c r="E136">
        <v>2.1986570869544226</v>
      </c>
    </row>
    <row r="137" spans="1:5" x14ac:dyDescent="0.25">
      <c r="A137" s="1">
        <v>42954</v>
      </c>
      <c r="B137">
        <v>162</v>
      </c>
      <c r="C137">
        <v>2.2095150145426308</v>
      </c>
      <c r="D137">
        <v>162</v>
      </c>
      <c r="E137">
        <v>2.2095150145426308</v>
      </c>
    </row>
    <row r="138" spans="1:5" x14ac:dyDescent="0.25">
      <c r="A138" s="1">
        <v>42961</v>
      </c>
      <c r="B138">
        <v>157</v>
      </c>
      <c r="C138">
        <v>2.1958996524092336</v>
      </c>
      <c r="D138">
        <v>157</v>
      </c>
      <c r="E138">
        <v>2.1958996524092336</v>
      </c>
    </row>
    <row r="139" spans="1:5" x14ac:dyDescent="0.25">
      <c r="A139" s="1">
        <v>42968</v>
      </c>
      <c r="B139">
        <v>187</v>
      </c>
      <c r="C139">
        <v>2.271841606536499</v>
      </c>
      <c r="D139">
        <v>187</v>
      </c>
      <c r="E139">
        <v>2.271841606536499</v>
      </c>
    </row>
    <row r="140" spans="1:5" x14ac:dyDescent="0.25">
      <c r="A140" s="1">
        <v>42975</v>
      </c>
      <c r="B140">
        <v>157</v>
      </c>
      <c r="C140">
        <v>2.1958996524092336</v>
      </c>
      <c r="D140">
        <v>157</v>
      </c>
      <c r="E140">
        <v>2.1958996524092336</v>
      </c>
    </row>
    <row r="141" spans="1:5" x14ac:dyDescent="0.25">
      <c r="A141" s="1">
        <v>42982</v>
      </c>
      <c r="B141">
        <v>175</v>
      </c>
      <c r="C141">
        <v>2.2430380486862944</v>
      </c>
      <c r="D141">
        <v>175</v>
      </c>
      <c r="E141">
        <v>2.2430380486862944</v>
      </c>
    </row>
    <row r="142" spans="1:5" x14ac:dyDescent="0.25">
      <c r="A142" s="1">
        <v>42989</v>
      </c>
      <c r="B142">
        <v>143</v>
      </c>
      <c r="C142">
        <v>2.1553360374650619</v>
      </c>
      <c r="D142">
        <v>143</v>
      </c>
      <c r="E142">
        <v>2.1553360374650619</v>
      </c>
    </row>
    <row r="143" spans="1:5" x14ac:dyDescent="0.25">
      <c r="A143" s="1">
        <v>42996</v>
      </c>
      <c r="B143">
        <v>166</v>
      </c>
      <c r="C143">
        <v>2.220108088040055</v>
      </c>
      <c r="D143">
        <v>166</v>
      </c>
      <c r="E143">
        <v>2.220108088040055</v>
      </c>
    </row>
    <row r="144" spans="1:5" x14ac:dyDescent="0.25">
      <c r="A144" s="1">
        <v>43003</v>
      </c>
      <c r="B144">
        <v>170</v>
      </c>
      <c r="C144">
        <v>2.2304489213782741</v>
      </c>
      <c r="D144">
        <v>170</v>
      </c>
      <c r="E144">
        <v>2.2304489213782741</v>
      </c>
    </row>
    <row r="145" spans="1:5" x14ac:dyDescent="0.25">
      <c r="A145" s="1">
        <v>43010</v>
      </c>
      <c r="B145">
        <v>141</v>
      </c>
      <c r="C145">
        <v>2.1492191126553797</v>
      </c>
      <c r="D145">
        <v>141</v>
      </c>
      <c r="E145">
        <v>2.1492191126553797</v>
      </c>
    </row>
    <row r="146" spans="1:5" x14ac:dyDescent="0.25">
      <c r="A146" s="1">
        <v>43017</v>
      </c>
      <c r="B146">
        <v>176</v>
      </c>
      <c r="C146">
        <v>2.2455126678141499</v>
      </c>
      <c r="D146">
        <v>176</v>
      </c>
      <c r="E146">
        <v>2.2455126678141499</v>
      </c>
    </row>
    <row r="147" spans="1:5" x14ac:dyDescent="0.25">
      <c r="A147" s="1">
        <v>43024</v>
      </c>
      <c r="B147">
        <v>179</v>
      </c>
      <c r="C147">
        <v>2.2528530309798933</v>
      </c>
      <c r="D147">
        <v>179</v>
      </c>
      <c r="E147">
        <v>2.2528530309798933</v>
      </c>
    </row>
    <row r="148" spans="1:5" x14ac:dyDescent="0.25">
      <c r="A148" s="1">
        <v>43031</v>
      </c>
      <c r="B148">
        <v>165</v>
      </c>
      <c r="C148">
        <v>2.2174839442139063</v>
      </c>
      <c r="D148">
        <v>165</v>
      </c>
      <c r="E148">
        <v>2.2174839442139063</v>
      </c>
    </row>
    <row r="149" spans="1:5" x14ac:dyDescent="0.25">
      <c r="A149" s="1">
        <v>43038</v>
      </c>
      <c r="B149">
        <v>190</v>
      </c>
      <c r="C149">
        <v>2.2787536009528289</v>
      </c>
      <c r="D149">
        <v>190</v>
      </c>
      <c r="E149">
        <v>2.2787536009528289</v>
      </c>
    </row>
    <row r="150" spans="1:5" x14ac:dyDescent="0.25">
      <c r="A150" s="1">
        <v>43045</v>
      </c>
      <c r="B150">
        <v>170</v>
      </c>
      <c r="C150">
        <v>2.2304489213782741</v>
      </c>
      <c r="D150">
        <v>170</v>
      </c>
      <c r="E150">
        <v>2.2304489213782741</v>
      </c>
    </row>
    <row r="151" spans="1:5" x14ac:dyDescent="0.25">
      <c r="A151" s="1">
        <v>43052</v>
      </c>
      <c r="B151">
        <v>162</v>
      </c>
      <c r="C151">
        <v>2.2095150145426308</v>
      </c>
      <c r="D151">
        <v>162</v>
      </c>
      <c r="E151">
        <v>2.2095150145426308</v>
      </c>
    </row>
    <row r="152" spans="1:5" x14ac:dyDescent="0.25">
      <c r="A152" s="1">
        <v>43059</v>
      </c>
      <c r="B152">
        <v>175</v>
      </c>
      <c r="C152">
        <v>2.2430380486862944</v>
      </c>
      <c r="D152">
        <v>175</v>
      </c>
      <c r="E152">
        <v>2.2430380486862944</v>
      </c>
    </row>
    <row r="153" spans="1:5" x14ac:dyDescent="0.25">
      <c r="A153" s="1">
        <v>43066</v>
      </c>
      <c r="B153">
        <v>149</v>
      </c>
      <c r="C153">
        <v>2.173186268412274</v>
      </c>
      <c r="D153">
        <v>149</v>
      </c>
      <c r="E153">
        <v>2.173186268412274</v>
      </c>
    </row>
    <row r="154" spans="1:5" x14ac:dyDescent="0.25">
      <c r="A154" s="1">
        <v>43073</v>
      </c>
      <c r="B154">
        <v>186</v>
      </c>
      <c r="C154">
        <v>2.2695129442179165</v>
      </c>
      <c r="D154">
        <v>186</v>
      </c>
      <c r="E154">
        <v>2.2695129442179165</v>
      </c>
    </row>
    <row r="155" spans="1:5" x14ac:dyDescent="0.25">
      <c r="A155" s="1">
        <v>43080</v>
      </c>
      <c r="B155">
        <v>186</v>
      </c>
      <c r="C155">
        <v>2.2695129442179165</v>
      </c>
      <c r="D155">
        <v>186</v>
      </c>
      <c r="E155">
        <v>2.2695129442179165</v>
      </c>
    </row>
    <row r="156" spans="1:5" x14ac:dyDescent="0.25">
      <c r="A156" s="1">
        <v>43087</v>
      </c>
      <c r="B156">
        <v>179</v>
      </c>
      <c r="C156">
        <v>2.2528530309798933</v>
      </c>
      <c r="D156">
        <v>179</v>
      </c>
      <c r="E156">
        <v>2.2528530309798933</v>
      </c>
    </row>
    <row r="157" spans="1:5" x14ac:dyDescent="0.25">
      <c r="A157" s="1">
        <v>43094</v>
      </c>
      <c r="B157">
        <v>178</v>
      </c>
      <c r="C157">
        <v>2.2504200023088941</v>
      </c>
      <c r="D157">
        <v>178</v>
      </c>
      <c r="E157">
        <v>2.2504200023088941</v>
      </c>
    </row>
    <row r="158" spans="1:5" x14ac:dyDescent="0.25">
      <c r="A158" s="1">
        <v>43101</v>
      </c>
      <c r="B158">
        <v>175</v>
      </c>
      <c r="C158">
        <v>2.2430380486862944</v>
      </c>
      <c r="D158">
        <v>175</v>
      </c>
      <c r="E158">
        <v>2.2430380486862944</v>
      </c>
    </row>
    <row r="159" spans="1:5" x14ac:dyDescent="0.25">
      <c r="A159" s="1">
        <v>43108</v>
      </c>
      <c r="B159">
        <v>168</v>
      </c>
      <c r="C159">
        <v>2.2253092817258628</v>
      </c>
      <c r="D159">
        <v>168</v>
      </c>
      <c r="E159">
        <v>2.2253092817258628</v>
      </c>
    </row>
    <row r="160" spans="1:5" x14ac:dyDescent="0.25">
      <c r="A160" s="1">
        <v>43115</v>
      </c>
      <c r="B160">
        <v>178</v>
      </c>
      <c r="C160">
        <v>2.2504200023088941</v>
      </c>
      <c r="D160">
        <v>178</v>
      </c>
      <c r="E160">
        <v>2.2504200023088941</v>
      </c>
    </row>
    <row r="161" spans="1:5" x14ac:dyDescent="0.25">
      <c r="A161" s="1">
        <v>43122</v>
      </c>
      <c r="B161">
        <v>181</v>
      </c>
      <c r="C161">
        <v>2.2576785748691846</v>
      </c>
      <c r="D161">
        <v>181</v>
      </c>
      <c r="E161">
        <v>2.2576785748691846</v>
      </c>
    </row>
    <row r="162" spans="1:5" x14ac:dyDescent="0.25">
      <c r="A162" s="1">
        <v>43129</v>
      </c>
      <c r="B162">
        <v>196</v>
      </c>
      <c r="C162">
        <v>2.2922560713564759</v>
      </c>
      <c r="D162">
        <v>196</v>
      </c>
      <c r="E162">
        <v>2.2922560713564759</v>
      </c>
    </row>
    <row r="163" spans="1:5" x14ac:dyDescent="0.25">
      <c r="A163" s="1">
        <v>43136</v>
      </c>
      <c r="B163">
        <v>181</v>
      </c>
      <c r="C163">
        <v>2.2576785748691846</v>
      </c>
      <c r="D163">
        <v>181</v>
      </c>
      <c r="E163">
        <v>2.2576785748691846</v>
      </c>
    </row>
    <row r="164" spans="1:5" x14ac:dyDescent="0.25">
      <c r="A164" s="1">
        <v>43143</v>
      </c>
      <c r="B164">
        <v>200</v>
      </c>
      <c r="C164">
        <v>2.3010299956639813</v>
      </c>
      <c r="D164">
        <v>200</v>
      </c>
      <c r="E164">
        <v>2.3010299956639813</v>
      </c>
    </row>
    <row r="165" spans="1:5" x14ac:dyDescent="0.25">
      <c r="A165" s="1">
        <v>43150</v>
      </c>
      <c r="B165">
        <v>184</v>
      </c>
      <c r="C165">
        <v>2.2648178230095364</v>
      </c>
      <c r="D165">
        <v>184</v>
      </c>
      <c r="E165">
        <v>2.2648178230095364</v>
      </c>
    </row>
    <row r="166" spans="1:5" x14ac:dyDescent="0.25">
      <c r="A166" s="1">
        <v>43157</v>
      </c>
      <c r="B166">
        <v>226</v>
      </c>
      <c r="C166">
        <v>2.3541084391474008</v>
      </c>
      <c r="D166">
        <v>226</v>
      </c>
      <c r="E166">
        <v>2.3541084391474008</v>
      </c>
    </row>
    <row r="167" spans="1:5" x14ac:dyDescent="0.25">
      <c r="A167" s="1">
        <v>43164</v>
      </c>
      <c r="B167">
        <v>251</v>
      </c>
      <c r="C167">
        <v>2.399673721481038</v>
      </c>
      <c r="D167">
        <v>251</v>
      </c>
      <c r="E167">
        <v>2.399673721481038</v>
      </c>
    </row>
    <row r="168" spans="1:5" x14ac:dyDescent="0.25">
      <c r="A168" s="1">
        <v>43171</v>
      </c>
      <c r="B168">
        <v>200</v>
      </c>
      <c r="C168">
        <v>2.3010299956639813</v>
      </c>
      <c r="D168">
        <v>200</v>
      </c>
      <c r="E168">
        <v>2.3010299956639813</v>
      </c>
    </row>
    <row r="169" spans="1:5" x14ac:dyDescent="0.25">
      <c r="A169" s="1">
        <v>43178</v>
      </c>
      <c r="B169">
        <v>210</v>
      </c>
      <c r="C169">
        <v>2.3222192947339191</v>
      </c>
      <c r="D169">
        <v>210</v>
      </c>
      <c r="E169">
        <v>2.3222192947339191</v>
      </c>
    </row>
    <row r="170" spans="1:5" x14ac:dyDescent="0.25">
      <c r="A170" s="1">
        <v>43185</v>
      </c>
      <c r="B170">
        <v>180</v>
      </c>
      <c r="C170">
        <v>2.255272505103306</v>
      </c>
      <c r="D170">
        <v>180</v>
      </c>
      <c r="E170">
        <v>2.255272505103306</v>
      </c>
    </row>
    <row r="171" spans="1:5" x14ac:dyDescent="0.25">
      <c r="A171" s="1">
        <v>43192</v>
      </c>
      <c r="B171">
        <v>187</v>
      </c>
      <c r="C171">
        <v>2.271841606536499</v>
      </c>
      <c r="D171">
        <v>187</v>
      </c>
      <c r="E171">
        <v>2.271841606536499</v>
      </c>
    </row>
    <row r="172" spans="1:5" x14ac:dyDescent="0.25">
      <c r="A172" s="1">
        <v>43199</v>
      </c>
      <c r="B172">
        <v>167</v>
      </c>
      <c r="C172">
        <v>2.2227164711475833</v>
      </c>
      <c r="D172">
        <v>167</v>
      </c>
      <c r="E172">
        <v>2.2227164711475833</v>
      </c>
    </row>
    <row r="173" spans="1:5" x14ac:dyDescent="0.25">
      <c r="A173" s="1">
        <v>43206</v>
      </c>
      <c r="B173">
        <v>162</v>
      </c>
      <c r="C173">
        <v>2.2095150145426308</v>
      </c>
      <c r="D173">
        <v>162</v>
      </c>
      <c r="E173">
        <v>2.2095150145426308</v>
      </c>
    </row>
    <row r="174" spans="1:5" x14ac:dyDescent="0.25">
      <c r="A174" s="1">
        <v>43213</v>
      </c>
      <c r="B174">
        <v>155</v>
      </c>
      <c r="C174">
        <v>2.1903316981702914</v>
      </c>
      <c r="D174">
        <v>155</v>
      </c>
      <c r="E174">
        <v>2.1903316981702914</v>
      </c>
    </row>
    <row r="175" spans="1:5" x14ac:dyDescent="0.25">
      <c r="A175" s="1">
        <v>43220</v>
      </c>
      <c r="B175">
        <v>157</v>
      </c>
      <c r="C175">
        <v>2.1958996524092336</v>
      </c>
      <c r="D175">
        <v>157</v>
      </c>
      <c r="E175">
        <v>2.1958996524092336</v>
      </c>
    </row>
    <row r="176" spans="1:5" x14ac:dyDescent="0.25">
      <c r="A176" s="1">
        <v>43227</v>
      </c>
      <c r="B176">
        <v>151</v>
      </c>
      <c r="C176">
        <v>2.1789769472931693</v>
      </c>
      <c r="D176">
        <v>151</v>
      </c>
      <c r="E176">
        <v>2.1789769472931693</v>
      </c>
    </row>
    <row r="177" spans="1:5" x14ac:dyDescent="0.25">
      <c r="A177" s="1">
        <v>43234</v>
      </c>
      <c r="B177">
        <v>153</v>
      </c>
      <c r="C177">
        <v>2.1846914308175989</v>
      </c>
      <c r="D177">
        <v>153</v>
      </c>
      <c r="E177">
        <v>2.1846914308175989</v>
      </c>
    </row>
    <row r="178" spans="1:5" x14ac:dyDescent="0.25">
      <c r="A178" s="1">
        <v>43241</v>
      </c>
      <c r="B178">
        <v>144</v>
      </c>
      <c r="C178">
        <v>2.1583624920952498</v>
      </c>
      <c r="D178">
        <v>144</v>
      </c>
      <c r="E178">
        <v>2.1583624920952498</v>
      </c>
    </row>
    <row r="179" spans="1:5" x14ac:dyDescent="0.25">
      <c r="A179" s="1">
        <v>43248</v>
      </c>
      <c r="B179">
        <v>181</v>
      </c>
      <c r="C179">
        <v>2.2576785748691846</v>
      </c>
      <c r="D179">
        <v>181</v>
      </c>
      <c r="E179">
        <v>2.2576785748691846</v>
      </c>
    </row>
    <row r="180" spans="1:5" x14ac:dyDescent="0.25">
      <c r="A180" s="1">
        <v>43255</v>
      </c>
      <c r="B180">
        <v>137</v>
      </c>
      <c r="C180">
        <v>2.1367205671564067</v>
      </c>
      <c r="D180">
        <v>137</v>
      </c>
      <c r="E180">
        <v>2.1367205671564067</v>
      </c>
    </row>
    <row r="181" spans="1:5" x14ac:dyDescent="0.25">
      <c r="A181" s="1">
        <v>43262</v>
      </c>
      <c r="B181">
        <v>140</v>
      </c>
      <c r="C181">
        <v>2.1461280356782382</v>
      </c>
      <c r="D181">
        <v>140</v>
      </c>
      <c r="E181">
        <v>2.1461280356782382</v>
      </c>
    </row>
    <row r="182" spans="1:5" x14ac:dyDescent="0.25">
      <c r="A182" s="1">
        <v>43269</v>
      </c>
      <c r="B182">
        <v>160</v>
      </c>
      <c r="C182">
        <v>2.2041199826559246</v>
      </c>
      <c r="D182">
        <v>160</v>
      </c>
      <c r="E182">
        <v>2.2041199826559246</v>
      </c>
    </row>
    <row r="183" spans="1:5" x14ac:dyDescent="0.25">
      <c r="A183" s="1">
        <v>43276</v>
      </c>
      <c r="B183">
        <v>168</v>
      </c>
      <c r="C183">
        <v>2.2253092817258628</v>
      </c>
      <c r="D183">
        <v>168</v>
      </c>
      <c r="E183">
        <v>2.2253092817258628</v>
      </c>
    </row>
    <row r="184" spans="1:5" x14ac:dyDescent="0.25">
      <c r="A184" s="1">
        <v>43283</v>
      </c>
      <c r="B184">
        <v>182</v>
      </c>
      <c r="C184">
        <v>2.2600713879850747</v>
      </c>
      <c r="D184">
        <v>182</v>
      </c>
      <c r="E184">
        <v>2.2600713879850747</v>
      </c>
    </row>
    <row r="185" spans="1:5" x14ac:dyDescent="0.25">
      <c r="A185" s="1">
        <v>43290</v>
      </c>
      <c r="B185">
        <v>157</v>
      </c>
      <c r="C185">
        <v>2.1958996524092336</v>
      </c>
      <c r="D185">
        <v>157</v>
      </c>
      <c r="E185">
        <v>2.1958996524092336</v>
      </c>
    </row>
    <row r="186" spans="1:5" x14ac:dyDescent="0.25">
      <c r="A186" s="1">
        <v>43297</v>
      </c>
      <c r="B186">
        <v>164</v>
      </c>
      <c r="C186">
        <v>2.214843848047698</v>
      </c>
      <c r="D186">
        <v>164</v>
      </c>
      <c r="E186">
        <v>2.214843848047698</v>
      </c>
    </row>
    <row r="187" spans="1:5" x14ac:dyDescent="0.25">
      <c r="A187" s="1">
        <v>43304</v>
      </c>
      <c r="B187">
        <v>172</v>
      </c>
      <c r="C187">
        <v>2.2355284469075487</v>
      </c>
      <c r="D187">
        <v>172</v>
      </c>
      <c r="E187">
        <v>2.2355284469075487</v>
      </c>
    </row>
    <row r="188" spans="1:5" x14ac:dyDescent="0.25">
      <c r="A188" s="1">
        <v>43311</v>
      </c>
      <c r="B188">
        <v>160</v>
      </c>
      <c r="C188">
        <v>2.2041199826559246</v>
      </c>
      <c r="D188">
        <v>160</v>
      </c>
      <c r="E188">
        <v>2.2041199826559246</v>
      </c>
    </row>
    <row r="189" spans="1:5" x14ac:dyDescent="0.25">
      <c r="A189" s="1">
        <v>43318</v>
      </c>
      <c r="B189">
        <v>195</v>
      </c>
      <c r="C189">
        <v>2.2900346113625178</v>
      </c>
      <c r="D189">
        <v>195</v>
      </c>
      <c r="E189">
        <v>2.2900346113625178</v>
      </c>
    </row>
    <row r="190" spans="1:5" x14ac:dyDescent="0.25">
      <c r="A190" s="1">
        <v>43325</v>
      </c>
      <c r="B190">
        <v>177</v>
      </c>
      <c r="C190">
        <v>2.2479732663618068</v>
      </c>
      <c r="D190">
        <v>177</v>
      </c>
      <c r="E190">
        <v>2.2479732663618068</v>
      </c>
    </row>
    <row r="191" spans="1:5" x14ac:dyDescent="0.25">
      <c r="A191" s="1">
        <v>43332</v>
      </c>
      <c r="B191">
        <v>144</v>
      </c>
      <c r="C191">
        <v>2.1583624920952498</v>
      </c>
      <c r="D191">
        <v>144</v>
      </c>
      <c r="E191">
        <v>2.1583624920952498</v>
      </c>
    </row>
    <row r="192" spans="1:5" x14ac:dyDescent="0.25">
      <c r="A192" s="1">
        <v>43339</v>
      </c>
      <c r="B192">
        <v>140</v>
      </c>
      <c r="C192">
        <v>2.1461280356782382</v>
      </c>
      <c r="D192">
        <v>140</v>
      </c>
      <c r="E192">
        <v>2.1461280356782382</v>
      </c>
    </row>
    <row r="193" spans="1:5" x14ac:dyDescent="0.25">
      <c r="A193" s="1">
        <v>43346</v>
      </c>
      <c r="B193">
        <v>171</v>
      </c>
      <c r="C193">
        <v>2.2329961103921536</v>
      </c>
      <c r="D193">
        <v>171</v>
      </c>
      <c r="E193">
        <v>2.2329961103921536</v>
      </c>
    </row>
    <row r="194" spans="1:5" x14ac:dyDescent="0.25">
      <c r="A194" s="1">
        <v>43353</v>
      </c>
      <c r="B194">
        <v>142</v>
      </c>
      <c r="C194">
        <v>2.1522883443830563</v>
      </c>
      <c r="D194">
        <v>142</v>
      </c>
      <c r="E194">
        <v>2.1522883443830563</v>
      </c>
    </row>
    <row r="195" spans="1:5" x14ac:dyDescent="0.25">
      <c r="A195" s="1">
        <v>43360</v>
      </c>
      <c r="B195">
        <v>161</v>
      </c>
      <c r="C195">
        <v>2.2068258760318495</v>
      </c>
      <c r="D195">
        <v>161</v>
      </c>
      <c r="E195">
        <v>2.2068258760318495</v>
      </c>
    </row>
    <row r="196" spans="1:5" x14ac:dyDescent="0.25">
      <c r="A196" s="1">
        <v>43367</v>
      </c>
      <c r="B196">
        <v>146</v>
      </c>
      <c r="C196">
        <v>2.1643528557844371</v>
      </c>
      <c r="D196">
        <v>146</v>
      </c>
      <c r="E196">
        <v>2.1643528557844371</v>
      </c>
    </row>
    <row r="197" spans="1:5" x14ac:dyDescent="0.25">
      <c r="A197" s="1">
        <v>43374</v>
      </c>
      <c r="B197">
        <v>143</v>
      </c>
      <c r="C197">
        <v>2.1553360374650619</v>
      </c>
      <c r="D197">
        <v>143</v>
      </c>
      <c r="E197">
        <v>2.1553360374650619</v>
      </c>
    </row>
    <row r="198" spans="1:5" x14ac:dyDescent="0.25">
      <c r="A198" s="1">
        <v>43381</v>
      </c>
      <c r="B198">
        <v>174</v>
      </c>
      <c r="C198">
        <v>2.2405492482825999</v>
      </c>
      <c r="D198">
        <v>174</v>
      </c>
      <c r="E198">
        <v>2.2405492482825999</v>
      </c>
    </row>
    <row r="199" spans="1:5" x14ac:dyDescent="0.25">
      <c r="A199" s="1">
        <v>43388</v>
      </c>
      <c r="B199">
        <v>167</v>
      </c>
      <c r="C199">
        <v>2.2227164711475833</v>
      </c>
      <c r="D199">
        <v>167</v>
      </c>
      <c r="E199">
        <v>2.2227164711475833</v>
      </c>
    </row>
    <row r="200" spans="1:5" x14ac:dyDescent="0.25">
      <c r="A200" s="1">
        <v>43395</v>
      </c>
      <c r="B200">
        <v>157</v>
      </c>
      <c r="C200">
        <v>2.1958996524092336</v>
      </c>
      <c r="D200">
        <v>157</v>
      </c>
      <c r="E200">
        <v>2.1958996524092336</v>
      </c>
    </row>
    <row r="201" spans="1:5" x14ac:dyDescent="0.25">
      <c r="A201" s="1">
        <v>43402</v>
      </c>
      <c r="B201">
        <v>149</v>
      </c>
      <c r="C201">
        <v>2.173186268412274</v>
      </c>
      <c r="D201">
        <v>149</v>
      </c>
      <c r="E201">
        <v>2.173186268412274</v>
      </c>
    </row>
    <row r="202" spans="1:5" x14ac:dyDescent="0.25">
      <c r="A202" s="1">
        <v>43409</v>
      </c>
      <c r="B202">
        <v>161</v>
      </c>
      <c r="C202">
        <v>2.2068258760318495</v>
      </c>
      <c r="D202">
        <v>161</v>
      </c>
      <c r="E202">
        <v>2.2068258760318495</v>
      </c>
    </row>
    <row r="203" spans="1:5" x14ac:dyDescent="0.25">
      <c r="A203" s="1">
        <v>43416</v>
      </c>
      <c r="B203">
        <v>176</v>
      </c>
      <c r="C203">
        <v>2.2455126678141499</v>
      </c>
      <c r="D203">
        <v>176</v>
      </c>
      <c r="E203">
        <v>2.2455126678141499</v>
      </c>
    </row>
    <row r="204" spans="1:5" x14ac:dyDescent="0.25">
      <c r="A204" s="1">
        <v>43423</v>
      </c>
      <c r="B204">
        <v>153</v>
      </c>
      <c r="C204">
        <v>2.1846914308175989</v>
      </c>
      <c r="D204">
        <v>153</v>
      </c>
      <c r="E204">
        <v>2.1846914308175989</v>
      </c>
    </row>
    <row r="205" spans="1:5" x14ac:dyDescent="0.25">
      <c r="A205" s="1">
        <v>43430</v>
      </c>
      <c r="B205">
        <v>186</v>
      </c>
      <c r="C205">
        <v>2.2695129442179165</v>
      </c>
      <c r="D205">
        <v>186</v>
      </c>
      <c r="E205">
        <v>2.2695129442179165</v>
      </c>
    </row>
    <row r="206" spans="1:5" x14ac:dyDescent="0.25">
      <c r="A206" s="1">
        <v>43437</v>
      </c>
      <c r="B206">
        <v>190</v>
      </c>
      <c r="C206">
        <v>2.2787536009528289</v>
      </c>
      <c r="D206">
        <v>190</v>
      </c>
      <c r="E206">
        <v>2.2787536009528289</v>
      </c>
    </row>
    <row r="207" spans="1:5" x14ac:dyDescent="0.25">
      <c r="A207" s="1">
        <v>43444</v>
      </c>
      <c r="B207">
        <v>196</v>
      </c>
      <c r="C207">
        <v>2.2922560713564759</v>
      </c>
      <c r="D207">
        <v>196</v>
      </c>
      <c r="E207">
        <v>2.2922560713564759</v>
      </c>
    </row>
    <row r="208" spans="1:5" x14ac:dyDescent="0.25">
      <c r="A208" s="1">
        <v>43451</v>
      </c>
      <c r="B208">
        <v>175</v>
      </c>
      <c r="C208">
        <v>2.2430380486862944</v>
      </c>
      <c r="D208">
        <v>175</v>
      </c>
      <c r="E208">
        <v>2.2430380486862944</v>
      </c>
    </row>
    <row r="209" spans="1:5" x14ac:dyDescent="0.25">
      <c r="A209" s="1">
        <v>43458</v>
      </c>
      <c r="B209">
        <v>161</v>
      </c>
      <c r="C209">
        <v>2.2068258760318495</v>
      </c>
      <c r="D209">
        <v>161</v>
      </c>
      <c r="E209">
        <v>2.2068258760318495</v>
      </c>
    </row>
    <row r="210" spans="1:5" x14ac:dyDescent="0.25">
      <c r="A210" s="1">
        <v>43465</v>
      </c>
      <c r="B210">
        <v>187</v>
      </c>
      <c r="C210">
        <v>2.271841606536499</v>
      </c>
      <c r="D210">
        <v>187</v>
      </c>
      <c r="E210">
        <v>2.271841606536499</v>
      </c>
    </row>
    <row r="211" spans="1:5" x14ac:dyDescent="0.25">
      <c r="A211" s="1">
        <v>43472</v>
      </c>
      <c r="B211">
        <v>195</v>
      </c>
      <c r="C211">
        <v>2.2900346113625178</v>
      </c>
      <c r="D211">
        <v>195</v>
      </c>
      <c r="E211">
        <v>2.2900346113625178</v>
      </c>
    </row>
    <row r="212" spans="1:5" x14ac:dyDescent="0.25">
      <c r="A212" s="1">
        <v>43479</v>
      </c>
      <c r="B212">
        <v>203</v>
      </c>
      <c r="C212">
        <v>2.307496037913213</v>
      </c>
      <c r="D212">
        <v>203</v>
      </c>
      <c r="E212">
        <v>2.307496037913213</v>
      </c>
    </row>
    <row r="213" spans="1:5" x14ac:dyDescent="0.25">
      <c r="A213" s="1">
        <v>43486</v>
      </c>
      <c r="B213">
        <v>202</v>
      </c>
      <c r="C213">
        <v>2.3053513694466239</v>
      </c>
      <c r="D213">
        <v>202</v>
      </c>
      <c r="E213">
        <v>2.3053513694466239</v>
      </c>
    </row>
    <row r="214" spans="1:5" x14ac:dyDescent="0.25">
      <c r="A214" s="1">
        <v>43493</v>
      </c>
      <c r="B214">
        <v>192</v>
      </c>
      <c r="C214">
        <v>2.2833012287035497</v>
      </c>
      <c r="D214">
        <v>192</v>
      </c>
      <c r="E214">
        <v>2.2833012287035497</v>
      </c>
    </row>
    <row r="215" spans="1:5" x14ac:dyDescent="0.25">
      <c r="A215" s="1">
        <v>43500</v>
      </c>
      <c r="B215">
        <v>195</v>
      </c>
      <c r="C215">
        <v>2.2900346113625178</v>
      </c>
      <c r="D215">
        <v>195</v>
      </c>
      <c r="E215">
        <v>2.2900346113625178</v>
      </c>
    </row>
    <row r="216" spans="1:5" x14ac:dyDescent="0.25">
      <c r="A216" s="1">
        <v>43507</v>
      </c>
      <c r="B216">
        <v>190</v>
      </c>
      <c r="C216">
        <v>2.2787536009528289</v>
      </c>
      <c r="D216">
        <v>190</v>
      </c>
      <c r="E216">
        <v>2.2787536009528289</v>
      </c>
    </row>
    <row r="217" spans="1:5" x14ac:dyDescent="0.25">
      <c r="A217" s="1">
        <v>43514</v>
      </c>
      <c r="B217">
        <v>202</v>
      </c>
      <c r="C217">
        <v>2.3053513694466239</v>
      </c>
      <c r="D217">
        <v>202</v>
      </c>
      <c r="E217">
        <v>2.3053513694466239</v>
      </c>
    </row>
    <row r="218" spans="1:5" x14ac:dyDescent="0.25">
      <c r="A218" s="1">
        <v>43521</v>
      </c>
      <c r="B218">
        <v>202</v>
      </c>
      <c r="C218">
        <v>2.3053513694466239</v>
      </c>
      <c r="D218">
        <v>202</v>
      </c>
      <c r="E218">
        <v>2.3053513694466239</v>
      </c>
    </row>
    <row r="219" spans="1:5" x14ac:dyDescent="0.25">
      <c r="A219" s="1">
        <v>43528</v>
      </c>
      <c r="B219">
        <v>187</v>
      </c>
      <c r="C219">
        <v>2.271841606536499</v>
      </c>
      <c r="D219">
        <v>187</v>
      </c>
      <c r="E219">
        <v>2.271841606536499</v>
      </c>
    </row>
    <row r="220" spans="1:5" x14ac:dyDescent="0.25">
      <c r="A220" s="1">
        <v>43535</v>
      </c>
      <c r="B220">
        <v>168</v>
      </c>
      <c r="C220">
        <v>2.2253092817258628</v>
      </c>
      <c r="D220">
        <v>168</v>
      </c>
      <c r="E220">
        <v>2.2253092817258628</v>
      </c>
    </row>
    <row r="221" spans="1:5" x14ac:dyDescent="0.25">
      <c r="A221" s="1">
        <v>43542</v>
      </c>
      <c r="B221">
        <v>163</v>
      </c>
      <c r="C221">
        <v>2.2121876044039577</v>
      </c>
      <c r="D221">
        <v>163</v>
      </c>
      <c r="E221">
        <v>2.2121876044039577</v>
      </c>
    </row>
    <row r="222" spans="1:5" x14ac:dyDescent="0.25">
      <c r="A222" s="1">
        <v>43549</v>
      </c>
      <c r="B222">
        <v>179</v>
      </c>
      <c r="C222">
        <v>2.2528530309798933</v>
      </c>
      <c r="D222">
        <v>179</v>
      </c>
      <c r="E222">
        <v>2.2528530309798933</v>
      </c>
    </row>
    <row r="223" spans="1:5" x14ac:dyDescent="0.25">
      <c r="A223" s="1">
        <v>43556</v>
      </c>
      <c r="B223">
        <v>138</v>
      </c>
      <c r="C223">
        <v>2.1398790864012365</v>
      </c>
      <c r="D223">
        <v>138</v>
      </c>
      <c r="E223">
        <v>2.1398790864012365</v>
      </c>
    </row>
    <row r="224" spans="1:5" x14ac:dyDescent="0.25">
      <c r="A224" s="1">
        <v>43563</v>
      </c>
      <c r="B224">
        <v>174</v>
      </c>
      <c r="C224">
        <v>2.2405492482825999</v>
      </c>
      <c r="D224">
        <v>174</v>
      </c>
      <c r="E224">
        <v>2.2405492482825999</v>
      </c>
    </row>
    <row r="225" spans="1:5" x14ac:dyDescent="0.25">
      <c r="A225" s="1">
        <v>43570</v>
      </c>
      <c r="B225">
        <v>193</v>
      </c>
      <c r="C225">
        <v>2.2855573090077739</v>
      </c>
      <c r="D225">
        <v>193</v>
      </c>
      <c r="E225">
        <v>2.2855573090077739</v>
      </c>
    </row>
    <row r="226" spans="1:5" x14ac:dyDescent="0.25">
      <c r="A226" s="1">
        <v>43577</v>
      </c>
      <c r="B226">
        <v>169</v>
      </c>
      <c r="C226">
        <v>2.2278867046136734</v>
      </c>
      <c r="D226">
        <v>169</v>
      </c>
      <c r="E226">
        <v>2.2278867046136734</v>
      </c>
    </row>
    <row r="227" spans="1:5" x14ac:dyDescent="0.25">
      <c r="A227" s="1">
        <v>43584</v>
      </c>
      <c r="B227">
        <v>146</v>
      </c>
      <c r="C227">
        <v>2.1643528557844371</v>
      </c>
      <c r="D227">
        <v>146</v>
      </c>
      <c r="E227">
        <v>2.1643528557844371</v>
      </c>
    </row>
    <row r="228" spans="1:5" x14ac:dyDescent="0.25">
      <c r="A228" s="1">
        <v>43591</v>
      </c>
      <c r="B228">
        <v>165</v>
      </c>
      <c r="C228">
        <v>2.2174839442139063</v>
      </c>
      <c r="D228">
        <v>165</v>
      </c>
      <c r="E228">
        <v>2.2174839442139063</v>
      </c>
    </row>
    <row r="229" spans="1:5" x14ac:dyDescent="0.25">
      <c r="A229" s="1">
        <v>43598</v>
      </c>
      <c r="B229">
        <v>171</v>
      </c>
      <c r="C229">
        <v>2.2329961103921536</v>
      </c>
      <c r="D229">
        <v>171</v>
      </c>
      <c r="E229">
        <v>2.2329961103921536</v>
      </c>
    </row>
    <row r="230" spans="1:5" x14ac:dyDescent="0.25">
      <c r="A230" s="1">
        <v>43605</v>
      </c>
      <c r="B230">
        <v>158</v>
      </c>
      <c r="C230">
        <v>2.1986570869544226</v>
      </c>
      <c r="D230">
        <v>158</v>
      </c>
      <c r="E230">
        <v>2.1986570869544226</v>
      </c>
    </row>
    <row r="231" spans="1:5" x14ac:dyDescent="0.25">
      <c r="A231" s="1">
        <v>43612</v>
      </c>
      <c r="B231">
        <v>171</v>
      </c>
      <c r="C231">
        <v>2.2329961103921536</v>
      </c>
      <c r="D231">
        <v>171</v>
      </c>
      <c r="E231">
        <v>2.2329961103921536</v>
      </c>
    </row>
    <row r="232" spans="1:5" x14ac:dyDescent="0.25">
      <c r="A232" s="1">
        <v>43619</v>
      </c>
      <c r="B232">
        <v>169</v>
      </c>
      <c r="C232">
        <v>2.2278867046136734</v>
      </c>
      <c r="D232">
        <v>169</v>
      </c>
      <c r="E232">
        <v>2.2278867046136734</v>
      </c>
    </row>
    <row r="233" spans="1:5" x14ac:dyDescent="0.25">
      <c r="A233" s="1">
        <v>43626</v>
      </c>
      <c r="B233">
        <v>154</v>
      </c>
      <c r="C233">
        <v>2.1875207208364631</v>
      </c>
      <c r="D233">
        <v>154</v>
      </c>
      <c r="E233">
        <v>2.1875207208364631</v>
      </c>
    </row>
    <row r="234" spans="1:5" x14ac:dyDescent="0.25">
      <c r="A234" s="1">
        <v>43633</v>
      </c>
      <c r="B234">
        <v>153</v>
      </c>
      <c r="C234">
        <v>2.1846914308175989</v>
      </c>
      <c r="D234">
        <v>153</v>
      </c>
      <c r="E234">
        <v>2.1846914308175989</v>
      </c>
    </row>
    <row r="235" spans="1:5" x14ac:dyDescent="0.25">
      <c r="A235" s="1">
        <v>43640</v>
      </c>
      <c r="B235">
        <v>184</v>
      </c>
      <c r="C235">
        <v>2.2648178230095364</v>
      </c>
      <c r="D235">
        <v>184</v>
      </c>
      <c r="E235">
        <v>2.2648178230095364</v>
      </c>
    </row>
    <row r="236" spans="1:5" x14ac:dyDescent="0.25">
      <c r="A236" s="1">
        <v>43647</v>
      </c>
      <c r="B236">
        <v>163</v>
      </c>
      <c r="C236">
        <v>2.2121876044039577</v>
      </c>
      <c r="D236">
        <v>163</v>
      </c>
      <c r="E236">
        <v>2.2121876044039577</v>
      </c>
    </row>
    <row r="237" spans="1:5" x14ac:dyDescent="0.25">
      <c r="A237" s="1">
        <v>43654</v>
      </c>
      <c r="B237">
        <v>147</v>
      </c>
      <c r="C237">
        <v>2.167317334748176</v>
      </c>
      <c r="D237">
        <v>147</v>
      </c>
      <c r="E237">
        <v>2.167317334748176</v>
      </c>
    </row>
    <row r="238" spans="1:5" x14ac:dyDescent="0.25">
      <c r="A238" s="1">
        <v>43661</v>
      </c>
      <c r="B238">
        <v>152</v>
      </c>
      <c r="C238">
        <v>2.1818435879447726</v>
      </c>
      <c r="D238">
        <v>152</v>
      </c>
      <c r="E238">
        <v>2.1818435879447726</v>
      </c>
    </row>
    <row r="239" spans="1:5" x14ac:dyDescent="0.25">
      <c r="A239" s="1">
        <v>43668</v>
      </c>
      <c r="B239">
        <v>221</v>
      </c>
      <c r="C239">
        <v>2.3443922736851106</v>
      </c>
      <c r="D239">
        <v>221</v>
      </c>
      <c r="E239">
        <v>2.3443922736851106</v>
      </c>
    </row>
    <row r="240" spans="1:5" x14ac:dyDescent="0.25">
      <c r="A240" s="1">
        <v>43675</v>
      </c>
      <c r="B240">
        <v>163</v>
      </c>
      <c r="C240">
        <v>2.2121876044039577</v>
      </c>
      <c r="D240">
        <v>163</v>
      </c>
      <c r="E240">
        <v>2.2121876044039577</v>
      </c>
    </row>
    <row r="241" spans="1:5" x14ac:dyDescent="0.25">
      <c r="A241" s="1">
        <v>43682</v>
      </c>
      <c r="B241">
        <v>174</v>
      </c>
      <c r="C241">
        <v>2.2405492482825999</v>
      </c>
      <c r="D241">
        <v>174</v>
      </c>
      <c r="E241">
        <v>2.2405492482825999</v>
      </c>
    </row>
    <row r="242" spans="1:5" x14ac:dyDescent="0.25">
      <c r="A242" s="1">
        <v>43689</v>
      </c>
      <c r="B242">
        <v>139</v>
      </c>
      <c r="C242">
        <v>2.143014800254095</v>
      </c>
      <c r="D242">
        <v>139</v>
      </c>
      <c r="E242">
        <v>2.143014800254095</v>
      </c>
    </row>
    <row r="243" spans="1:5" x14ac:dyDescent="0.25">
      <c r="A243" s="1">
        <v>43696</v>
      </c>
      <c r="B243">
        <v>159</v>
      </c>
      <c r="C243">
        <v>2.2013971243204513</v>
      </c>
      <c r="D243">
        <v>159</v>
      </c>
      <c r="E243">
        <v>2.2013971243204513</v>
      </c>
    </row>
    <row r="244" spans="1:5" x14ac:dyDescent="0.25">
      <c r="A244" s="1">
        <v>43703</v>
      </c>
      <c r="B244">
        <v>165</v>
      </c>
      <c r="C244">
        <v>2.2174839442139063</v>
      </c>
      <c r="D244">
        <v>165</v>
      </c>
      <c r="E244">
        <v>2.2174839442139063</v>
      </c>
    </row>
    <row r="245" spans="1:5" x14ac:dyDescent="0.25">
      <c r="A245" s="1">
        <v>43710</v>
      </c>
      <c r="B245">
        <v>170</v>
      </c>
      <c r="C245">
        <v>2.2304489213782741</v>
      </c>
      <c r="D245">
        <v>170</v>
      </c>
      <c r="E245">
        <v>2.2304489213782741</v>
      </c>
    </row>
    <row r="246" spans="1:5" x14ac:dyDescent="0.25">
      <c r="A246" s="1">
        <v>43717</v>
      </c>
      <c r="B246">
        <v>166</v>
      </c>
      <c r="C246">
        <v>2.220108088040055</v>
      </c>
      <c r="D246">
        <v>166</v>
      </c>
      <c r="E246">
        <v>2.220108088040055</v>
      </c>
    </row>
    <row r="247" spans="1:5" x14ac:dyDescent="0.25">
      <c r="A247" s="1">
        <v>43724</v>
      </c>
      <c r="B247">
        <v>156</v>
      </c>
      <c r="C247">
        <v>2.1931245983544616</v>
      </c>
      <c r="D247">
        <v>156</v>
      </c>
      <c r="E247">
        <v>2.1931245983544616</v>
      </c>
    </row>
    <row r="248" spans="1:5" x14ac:dyDescent="0.25">
      <c r="A248" s="1">
        <v>43731</v>
      </c>
      <c r="B248">
        <v>148</v>
      </c>
      <c r="C248">
        <v>2.1702617153949575</v>
      </c>
      <c r="D248">
        <v>148</v>
      </c>
      <c r="E248">
        <v>2.1702617153949575</v>
      </c>
    </row>
    <row r="249" spans="1:5" x14ac:dyDescent="0.25">
      <c r="A249" s="1">
        <v>43738</v>
      </c>
      <c r="B249">
        <v>186</v>
      </c>
      <c r="C249">
        <v>2.2695129442179165</v>
      </c>
      <c r="D249">
        <v>186</v>
      </c>
      <c r="E249">
        <v>2.2695129442179165</v>
      </c>
    </row>
    <row r="250" spans="1:5" x14ac:dyDescent="0.25">
      <c r="A250" s="1">
        <v>43745</v>
      </c>
      <c r="B250">
        <v>141</v>
      </c>
      <c r="C250">
        <v>2.1492191126553797</v>
      </c>
      <c r="D250">
        <v>141</v>
      </c>
      <c r="E250">
        <v>2.1492191126553797</v>
      </c>
    </row>
    <row r="251" spans="1:5" x14ac:dyDescent="0.25">
      <c r="A251" s="1">
        <v>43752</v>
      </c>
      <c r="B251">
        <v>152</v>
      </c>
      <c r="C251">
        <v>2.1818435879447726</v>
      </c>
      <c r="D251">
        <v>152</v>
      </c>
      <c r="E251">
        <v>2.1818435879447726</v>
      </c>
    </row>
    <row r="252" spans="1:5" x14ac:dyDescent="0.25">
      <c r="A252" s="1">
        <v>43759</v>
      </c>
      <c r="B252">
        <v>182</v>
      </c>
      <c r="C252">
        <v>2.2600713879850747</v>
      </c>
      <c r="D252">
        <v>182</v>
      </c>
      <c r="E252">
        <v>2.2600713879850747</v>
      </c>
    </row>
    <row r="253" spans="1:5" x14ac:dyDescent="0.25">
      <c r="A253" s="1">
        <v>43766</v>
      </c>
      <c r="B253">
        <v>167</v>
      </c>
      <c r="C253">
        <v>2.2227164711475833</v>
      </c>
      <c r="D253">
        <v>167</v>
      </c>
      <c r="E253">
        <v>2.2227164711475833</v>
      </c>
    </row>
    <row r="254" spans="1:5" x14ac:dyDescent="0.25">
      <c r="A254" s="1">
        <v>43773</v>
      </c>
      <c r="B254">
        <v>164</v>
      </c>
      <c r="C254">
        <v>2.214843848047698</v>
      </c>
      <c r="D254">
        <v>164</v>
      </c>
      <c r="E254">
        <v>2.214843848047698</v>
      </c>
    </row>
    <row r="255" spans="1:5" x14ac:dyDescent="0.25">
      <c r="A255" s="1">
        <v>43780</v>
      </c>
      <c r="B255">
        <v>150</v>
      </c>
      <c r="C255">
        <v>2.1760912590556813</v>
      </c>
      <c r="D255">
        <v>150</v>
      </c>
      <c r="E255">
        <v>2.1760912590556813</v>
      </c>
    </row>
    <row r="256" spans="1:5" x14ac:dyDescent="0.25">
      <c r="A256" s="1">
        <v>43787</v>
      </c>
      <c r="B256">
        <v>179</v>
      </c>
      <c r="C256">
        <v>2.2528530309798933</v>
      </c>
      <c r="D256">
        <v>179</v>
      </c>
      <c r="E256">
        <v>2.2528530309798933</v>
      </c>
    </row>
    <row r="257" spans="1:5" x14ac:dyDescent="0.25">
      <c r="A257" s="1">
        <v>43794</v>
      </c>
      <c r="B257">
        <v>152</v>
      </c>
      <c r="C257">
        <v>2.1818435879447726</v>
      </c>
      <c r="D257">
        <v>152</v>
      </c>
      <c r="E257">
        <v>2.1818435879447726</v>
      </c>
    </row>
    <row r="258" spans="1:5" x14ac:dyDescent="0.25">
      <c r="A258" s="1">
        <v>43801</v>
      </c>
      <c r="B258">
        <v>150</v>
      </c>
      <c r="C258">
        <v>2.1760912590556813</v>
      </c>
      <c r="D258">
        <v>150</v>
      </c>
      <c r="E258">
        <v>2.1760912590556813</v>
      </c>
    </row>
    <row r="259" spans="1:5" x14ac:dyDescent="0.25">
      <c r="A259" s="1">
        <v>43808</v>
      </c>
      <c r="B259">
        <v>176</v>
      </c>
      <c r="C259">
        <v>2.2455126678141499</v>
      </c>
      <c r="D259">
        <v>176</v>
      </c>
      <c r="E259">
        <v>2.2455126678141499</v>
      </c>
    </row>
    <row r="260" spans="1:5" x14ac:dyDescent="0.25">
      <c r="A260" s="1">
        <v>43815</v>
      </c>
      <c r="B260">
        <v>189</v>
      </c>
      <c r="C260">
        <v>2.2764618041732443</v>
      </c>
      <c r="D260">
        <v>189</v>
      </c>
      <c r="E260">
        <v>2.2764618041732443</v>
      </c>
    </row>
    <row r="261" spans="1:5" x14ac:dyDescent="0.25">
      <c r="A261" s="1">
        <v>43822</v>
      </c>
      <c r="B261">
        <v>166</v>
      </c>
      <c r="C261">
        <v>2.220108088040055</v>
      </c>
      <c r="D261">
        <v>166</v>
      </c>
      <c r="E261">
        <v>2.220108088040055</v>
      </c>
    </row>
    <row r="262" spans="1:5" x14ac:dyDescent="0.25">
      <c r="A262" s="1">
        <v>43829</v>
      </c>
      <c r="B262">
        <v>180</v>
      </c>
      <c r="C262">
        <v>2.255272505103306</v>
      </c>
      <c r="D262">
        <v>180</v>
      </c>
      <c r="E262">
        <v>2.255272505103306</v>
      </c>
    </row>
    <row r="263" spans="1:5" x14ac:dyDescent="0.25">
      <c r="A263" s="1">
        <v>43836</v>
      </c>
      <c r="B263">
        <v>185</v>
      </c>
      <c r="C263">
        <v>2.2671717284030137</v>
      </c>
    </row>
    <row r="264" spans="1:5" x14ac:dyDescent="0.25">
      <c r="A264" s="1">
        <v>43843</v>
      </c>
      <c r="B264">
        <v>168</v>
      </c>
      <c r="C264">
        <v>2.2253092817258628</v>
      </c>
    </row>
    <row r="265" spans="1:5" x14ac:dyDescent="0.25">
      <c r="A265" s="1">
        <v>43850</v>
      </c>
      <c r="B265">
        <v>177</v>
      </c>
      <c r="C265">
        <v>2.2479732663618068</v>
      </c>
    </row>
    <row r="266" spans="1:5" x14ac:dyDescent="0.25">
      <c r="A266" s="1">
        <v>43857</v>
      </c>
      <c r="B266">
        <v>194</v>
      </c>
      <c r="C266">
        <v>2.287801729930226</v>
      </c>
    </row>
    <row r="267" spans="1:5" x14ac:dyDescent="0.25">
      <c r="A267" s="1">
        <v>43864</v>
      </c>
      <c r="B267">
        <v>188</v>
      </c>
      <c r="C267">
        <v>2.27415784926368</v>
      </c>
    </row>
    <row r="268" spans="1:5" x14ac:dyDescent="0.25">
      <c r="A268" s="1">
        <v>43871</v>
      </c>
      <c r="B268">
        <v>193</v>
      </c>
      <c r="C268">
        <v>2.2855573090077739</v>
      </c>
    </row>
    <row r="269" spans="1:5" x14ac:dyDescent="0.25">
      <c r="A269" s="1">
        <v>43878</v>
      </c>
      <c r="B269">
        <v>191</v>
      </c>
      <c r="C269">
        <v>2.2810333672477277</v>
      </c>
    </row>
    <row r="270" spans="1:5" x14ac:dyDescent="0.25">
      <c r="A270" s="1">
        <v>43885</v>
      </c>
      <c r="B270">
        <v>190</v>
      </c>
      <c r="C270">
        <v>2.2787536009528289</v>
      </c>
    </row>
    <row r="271" spans="1:5" x14ac:dyDescent="0.25">
      <c r="A271" s="1">
        <v>43892</v>
      </c>
      <c r="B271">
        <v>190</v>
      </c>
      <c r="C271">
        <v>2.2787536009528289</v>
      </c>
    </row>
    <row r="272" spans="1:5" x14ac:dyDescent="0.25">
      <c r="A272" s="1">
        <v>43899</v>
      </c>
      <c r="B272">
        <v>193</v>
      </c>
      <c r="C272">
        <v>2.2855573090077739</v>
      </c>
    </row>
    <row r="273" spans="1:3" x14ac:dyDescent="0.25">
      <c r="A273" s="1">
        <v>43906</v>
      </c>
      <c r="B273">
        <v>254</v>
      </c>
      <c r="C273">
        <v>2.4048337166199381</v>
      </c>
    </row>
    <row r="274" spans="1:3" x14ac:dyDescent="0.25">
      <c r="A274" s="1">
        <v>43913</v>
      </c>
      <c r="B274">
        <v>331</v>
      </c>
      <c r="C274">
        <v>2.5198279937757189</v>
      </c>
    </row>
    <row r="275" spans="1:3" x14ac:dyDescent="0.25">
      <c r="A275" s="1">
        <v>43920</v>
      </c>
      <c r="B275">
        <v>482</v>
      </c>
      <c r="C275">
        <v>2.6830470382388496</v>
      </c>
    </row>
    <row r="276" spans="1:3" x14ac:dyDescent="0.25">
      <c r="A276" s="1">
        <v>43927</v>
      </c>
      <c r="B276">
        <v>515</v>
      </c>
      <c r="C276">
        <v>2.7118072290411912</v>
      </c>
    </row>
    <row r="277" spans="1:3" x14ac:dyDescent="0.25">
      <c r="A277" s="1">
        <v>43934</v>
      </c>
      <c r="B277">
        <v>373</v>
      </c>
      <c r="C277">
        <v>2.5717088318086878</v>
      </c>
    </row>
    <row r="278" spans="1:3" x14ac:dyDescent="0.25">
      <c r="A278" s="1">
        <v>43941</v>
      </c>
      <c r="B278">
        <v>309</v>
      </c>
      <c r="C278">
        <v>2.4899584794248346</v>
      </c>
    </row>
    <row r="279" spans="1:3" x14ac:dyDescent="0.25">
      <c r="A279" s="1">
        <v>43948</v>
      </c>
      <c r="B279">
        <v>235</v>
      </c>
      <c r="C279">
        <v>2.3710678622717363</v>
      </c>
    </row>
    <row r="280" spans="1:3" x14ac:dyDescent="0.25">
      <c r="A280" s="1">
        <v>43955</v>
      </c>
      <c r="B280">
        <v>192</v>
      </c>
      <c r="C280">
        <v>2.2833012287035497</v>
      </c>
    </row>
    <row r="281" spans="1:3" x14ac:dyDescent="0.25">
      <c r="A281" s="1">
        <v>43962</v>
      </c>
      <c r="B281">
        <v>175</v>
      </c>
      <c r="C281">
        <v>2.2430380486862944</v>
      </c>
    </row>
    <row r="282" spans="1:3" x14ac:dyDescent="0.25">
      <c r="A282" s="1">
        <v>43969</v>
      </c>
      <c r="B282">
        <v>169</v>
      </c>
      <c r="C282">
        <v>2.2278867046136734</v>
      </c>
    </row>
    <row r="283" spans="1:3" x14ac:dyDescent="0.25">
      <c r="A283" s="1">
        <v>43976</v>
      </c>
      <c r="B283">
        <v>148</v>
      </c>
      <c r="C283">
        <v>2.1702617153949575</v>
      </c>
    </row>
    <row r="284" spans="1:3" x14ac:dyDescent="0.25">
      <c r="A284" s="1">
        <v>43983</v>
      </c>
      <c r="B284">
        <v>147</v>
      </c>
      <c r="C284">
        <v>2.167317334748176</v>
      </c>
    </row>
    <row r="285" spans="1:3" x14ac:dyDescent="0.25">
      <c r="A285" s="1">
        <v>43990</v>
      </c>
      <c r="B285">
        <v>143</v>
      </c>
      <c r="C285">
        <v>2.1553360374650619</v>
      </c>
    </row>
    <row r="286" spans="1:3" x14ac:dyDescent="0.25">
      <c r="A286" s="1">
        <v>43997</v>
      </c>
      <c r="B286">
        <v>149</v>
      </c>
      <c r="C286">
        <v>2.173186268412274</v>
      </c>
    </row>
    <row r="287" spans="1:3" x14ac:dyDescent="0.25">
      <c r="A287" s="1">
        <v>44004</v>
      </c>
      <c r="B287">
        <v>161</v>
      </c>
      <c r="C287">
        <v>2.2068258760318495</v>
      </c>
    </row>
    <row r="288" spans="1:3" x14ac:dyDescent="0.25">
      <c r="A288" s="1">
        <v>44011</v>
      </c>
      <c r="B288">
        <v>141</v>
      </c>
      <c r="C288">
        <v>2.1492191126553797</v>
      </c>
    </row>
    <row r="289" spans="1:3" x14ac:dyDescent="0.25">
      <c r="A289" s="1">
        <v>44018</v>
      </c>
      <c r="B289">
        <v>126</v>
      </c>
      <c r="C289">
        <v>2.1003705451175629</v>
      </c>
    </row>
    <row r="290" spans="1:3" x14ac:dyDescent="0.25">
      <c r="A290" s="1">
        <v>44025</v>
      </c>
      <c r="B290">
        <v>140</v>
      </c>
      <c r="C290">
        <v>2.1461280356782382</v>
      </c>
    </row>
    <row r="291" spans="1:3" x14ac:dyDescent="0.25">
      <c r="A291" s="1">
        <v>44032</v>
      </c>
      <c r="B291">
        <v>159</v>
      </c>
      <c r="C291">
        <v>2.2013971243204513</v>
      </c>
    </row>
    <row r="292" spans="1:3" x14ac:dyDescent="0.25">
      <c r="A292" s="1">
        <v>44039</v>
      </c>
      <c r="B292">
        <v>135</v>
      </c>
      <c r="C292">
        <v>2.1303337684950061</v>
      </c>
    </row>
    <row r="293" spans="1:3" x14ac:dyDescent="0.25">
      <c r="A293" s="1">
        <v>44046</v>
      </c>
      <c r="B293">
        <v>158</v>
      </c>
      <c r="C293">
        <v>2.1986570869544226</v>
      </c>
    </row>
    <row r="294" spans="1:3" x14ac:dyDescent="0.25">
      <c r="A294" s="1">
        <v>44053</v>
      </c>
      <c r="B294">
        <v>251</v>
      </c>
      <c r="C294">
        <v>2.399673721481038</v>
      </c>
    </row>
    <row r="295" spans="1:3" x14ac:dyDescent="0.25">
      <c r="A295" s="1">
        <v>44060</v>
      </c>
      <c r="B295">
        <v>205</v>
      </c>
      <c r="C295">
        <v>2.3117538610557542</v>
      </c>
    </row>
    <row r="296" spans="1:3" x14ac:dyDescent="0.25">
      <c r="A296" s="1">
        <v>44067</v>
      </c>
      <c r="B296">
        <v>126</v>
      </c>
      <c r="C296">
        <v>2.1003705451175629</v>
      </c>
    </row>
    <row r="297" spans="1:3" x14ac:dyDescent="0.25">
      <c r="A297" s="1">
        <v>44074</v>
      </c>
      <c r="B297">
        <v>155</v>
      </c>
      <c r="C297">
        <v>2.1903316981702914</v>
      </c>
    </row>
    <row r="298" spans="1:3" x14ac:dyDescent="0.25">
      <c r="A298" s="1">
        <v>44081</v>
      </c>
      <c r="B298">
        <v>142</v>
      </c>
      <c r="C298">
        <v>2.1522883443830563</v>
      </c>
    </row>
    <row r="299" spans="1:3" x14ac:dyDescent="0.25">
      <c r="A299" s="1">
        <v>44088</v>
      </c>
      <c r="B299">
        <v>150</v>
      </c>
      <c r="C299">
        <v>2.1760912590556813</v>
      </c>
    </row>
    <row r="300" spans="1:3" x14ac:dyDescent="0.25">
      <c r="A300" s="1">
        <v>44095</v>
      </c>
      <c r="B300">
        <v>155</v>
      </c>
      <c r="C300">
        <v>2.1903316981702914</v>
      </c>
    </row>
    <row r="301" spans="1:3" x14ac:dyDescent="0.25">
      <c r="A301" s="1">
        <v>44102</v>
      </c>
      <c r="B301">
        <v>160</v>
      </c>
      <c r="C301">
        <v>2.2041199826559246</v>
      </c>
    </row>
    <row r="302" spans="1:3" x14ac:dyDescent="0.25">
      <c r="A302" s="1">
        <v>44109</v>
      </c>
      <c r="B302">
        <v>184</v>
      </c>
      <c r="C302">
        <v>2.2648178230095364</v>
      </c>
    </row>
    <row r="303" spans="1:3" x14ac:dyDescent="0.25">
      <c r="A303" s="1">
        <v>44116</v>
      </c>
      <c r="B303">
        <v>178</v>
      </c>
      <c r="C303">
        <v>2.2504200023088941</v>
      </c>
    </row>
    <row r="304" spans="1:3" x14ac:dyDescent="0.25">
      <c r="A304" s="1">
        <v>44123</v>
      </c>
      <c r="B304">
        <v>250</v>
      </c>
      <c r="C304">
        <v>2.3979400086720375</v>
      </c>
    </row>
    <row r="305" spans="1:5" x14ac:dyDescent="0.25">
      <c r="A305" s="1">
        <v>44130</v>
      </c>
      <c r="B305">
        <v>316</v>
      </c>
      <c r="C305">
        <v>2.4996870826184039</v>
      </c>
    </row>
    <row r="306" spans="1:5" x14ac:dyDescent="0.25">
      <c r="A306" s="1">
        <v>44137</v>
      </c>
      <c r="B306">
        <v>326</v>
      </c>
      <c r="C306">
        <v>2.5132176000679389</v>
      </c>
    </row>
    <row r="307" spans="1:5" x14ac:dyDescent="0.25">
      <c r="A307" s="1">
        <v>44144</v>
      </c>
      <c r="B307">
        <v>294</v>
      </c>
      <c r="C307">
        <v>2.4683473304121573</v>
      </c>
    </row>
    <row r="308" spans="1:5" x14ac:dyDescent="0.25">
      <c r="A308" s="1">
        <v>44151</v>
      </c>
      <c r="B308">
        <v>276</v>
      </c>
      <c r="C308">
        <v>2.4409090820652177</v>
      </c>
    </row>
    <row r="309" spans="1:5" x14ac:dyDescent="0.25">
      <c r="A309" s="1">
        <v>44158</v>
      </c>
      <c r="B309">
        <v>262</v>
      </c>
      <c r="C309">
        <v>2.4183012913197452</v>
      </c>
    </row>
    <row r="310" spans="1:5" x14ac:dyDescent="0.25">
      <c r="A310" s="1">
        <v>44165</v>
      </c>
      <c r="B310">
        <v>188</v>
      </c>
      <c r="C310">
        <v>2.27415784926368</v>
      </c>
    </row>
    <row r="311" spans="1:5" x14ac:dyDescent="0.25">
      <c r="A311" s="1">
        <v>44172</v>
      </c>
      <c r="B311">
        <v>225</v>
      </c>
      <c r="C311">
        <v>2.3521825181113627</v>
      </c>
    </row>
    <row r="312" spans="1:5" x14ac:dyDescent="0.25">
      <c r="A312" s="1">
        <v>44179</v>
      </c>
      <c r="B312">
        <v>202</v>
      </c>
      <c r="C312">
        <v>2.3053513694466239</v>
      </c>
    </row>
    <row r="313" spans="1:5" x14ac:dyDescent="0.25">
      <c r="A313" s="1">
        <v>44186</v>
      </c>
      <c r="B313">
        <v>190</v>
      </c>
      <c r="C313">
        <v>2.2787536009528289</v>
      </c>
    </row>
    <row r="314" spans="1:5" x14ac:dyDescent="0.25">
      <c r="A314" s="1">
        <v>44193</v>
      </c>
      <c r="B314">
        <v>188</v>
      </c>
      <c r="C314">
        <v>2.27415784926368</v>
      </c>
    </row>
    <row r="315" spans="1:5" x14ac:dyDescent="0.25">
      <c r="A315" s="1">
        <v>44200</v>
      </c>
      <c r="B315">
        <v>175</v>
      </c>
      <c r="C315">
        <v>2.2430380486862944</v>
      </c>
      <c r="D315">
        <v>175</v>
      </c>
      <c r="E315">
        <v>2.2430380486862944</v>
      </c>
    </row>
    <row r="316" spans="1:5" x14ac:dyDescent="0.25">
      <c r="A316" s="1">
        <v>44207</v>
      </c>
      <c r="B316">
        <v>154</v>
      </c>
      <c r="C316">
        <v>2.1875207208364631</v>
      </c>
      <c r="D316">
        <v>154</v>
      </c>
      <c r="E316">
        <v>2.1875207208364631</v>
      </c>
    </row>
    <row r="317" spans="1:5" x14ac:dyDescent="0.25">
      <c r="A317" s="1">
        <v>44214</v>
      </c>
      <c r="B317">
        <v>168</v>
      </c>
      <c r="C317">
        <v>2.2253092817258628</v>
      </c>
      <c r="D317">
        <v>168</v>
      </c>
      <c r="E317">
        <v>2.2253092817258628</v>
      </c>
    </row>
    <row r="318" spans="1:5" x14ac:dyDescent="0.25">
      <c r="A318" s="1">
        <v>44221</v>
      </c>
      <c r="B318">
        <v>192</v>
      </c>
      <c r="C318">
        <v>2.2833012287035497</v>
      </c>
      <c r="D318">
        <v>192</v>
      </c>
      <c r="E318">
        <v>2.2833012287035497</v>
      </c>
    </row>
    <row r="319" spans="1:5" x14ac:dyDescent="0.25">
      <c r="A319" s="1">
        <v>44228</v>
      </c>
      <c r="B319">
        <v>169</v>
      </c>
      <c r="C319">
        <v>2.2278867046136734</v>
      </c>
      <c r="D319">
        <v>169</v>
      </c>
      <c r="E319">
        <v>2.2278867046136734</v>
      </c>
    </row>
    <row r="320" spans="1:5" x14ac:dyDescent="0.25">
      <c r="A320" s="1">
        <v>44235</v>
      </c>
      <c r="B320">
        <v>171</v>
      </c>
      <c r="C320">
        <v>2.2329961103921536</v>
      </c>
      <c r="D320">
        <v>171</v>
      </c>
      <c r="E320">
        <v>2.2329961103921536</v>
      </c>
    </row>
    <row r="321" spans="1:5" x14ac:dyDescent="0.25">
      <c r="A321" s="1">
        <v>44242</v>
      </c>
      <c r="B321">
        <v>165</v>
      </c>
      <c r="C321">
        <v>2.2174839442139063</v>
      </c>
      <c r="D321">
        <v>165</v>
      </c>
      <c r="E321">
        <v>2.2174839442139063</v>
      </c>
    </row>
    <row r="322" spans="1:5" x14ac:dyDescent="0.25">
      <c r="A322" s="1">
        <v>44249</v>
      </c>
      <c r="B322">
        <v>161</v>
      </c>
      <c r="C322">
        <v>2.2068258760318495</v>
      </c>
      <c r="D322">
        <v>161</v>
      </c>
      <c r="E322">
        <v>2.2068258760318495</v>
      </c>
    </row>
    <row r="323" spans="1:5" x14ac:dyDescent="0.25">
      <c r="A323" s="1">
        <v>44256</v>
      </c>
      <c r="B323">
        <v>178</v>
      </c>
      <c r="C323">
        <v>2.2504200023088941</v>
      </c>
      <c r="D323">
        <v>178</v>
      </c>
      <c r="E323">
        <v>2.2504200023088941</v>
      </c>
    </row>
    <row r="324" spans="1:5" x14ac:dyDescent="0.25">
      <c r="A324" s="1">
        <v>44263</v>
      </c>
      <c r="B324">
        <v>166</v>
      </c>
      <c r="C324">
        <v>2.220108088040055</v>
      </c>
      <c r="D324">
        <v>166</v>
      </c>
      <c r="E324">
        <v>2.220108088040055</v>
      </c>
    </row>
    <row r="325" spans="1:5" x14ac:dyDescent="0.25">
      <c r="A325" s="1">
        <v>44270</v>
      </c>
      <c r="B325">
        <v>174</v>
      </c>
      <c r="C325">
        <v>2.2405492482825999</v>
      </c>
      <c r="D325">
        <v>174</v>
      </c>
      <c r="E325">
        <v>2.2405492482825999</v>
      </c>
    </row>
    <row r="326" spans="1:5" x14ac:dyDescent="0.25">
      <c r="A326" s="1">
        <v>44277</v>
      </c>
      <c r="B326">
        <v>155</v>
      </c>
      <c r="C326">
        <v>2.1903316981702914</v>
      </c>
      <c r="D326">
        <v>155</v>
      </c>
      <c r="E326">
        <v>2.1903316981702914</v>
      </c>
    </row>
    <row r="327" spans="1:5" x14ac:dyDescent="0.25">
      <c r="A327" s="1">
        <v>44284</v>
      </c>
      <c r="B327">
        <v>189</v>
      </c>
      <c r="C327">
        <v>2.2764618041732443</v>
      </c>
      <c r="D327">
        <v>189</v>
      </c>
      <c r="E327">
        <v>2.2764618041732443</v>
      </c>
    </row>
    <row r="328" spans="1:5" x14ac:dyDescent="0.25">
      <c r="A328" s="1">
        <v>44291</v>
      </c>
      <c r="B328">
        <v>184</v>
      </c>
      <c r="C328">
        <v>2.2648178230095364</v>
      </c>
      <c r="D328">
        <v>184</v>
      </c>
      <c r="E328">
        <v>2.2648178230095364</v>
      </c>
    </row>
    <row r="329" spans="1:5" x14ac:dyDescent="0.25">
      <c r="A329" s="1">
        <v>44298</v>
      </c>
      <c r="B329">
        <v>188</v>
      </c>
      <c r="C329">
        <v>2.27415784926368</v>
      </c>
      <c r="D329">
        <v>188</v>
      </c>
      <c r="E329">
        <v>2.27415784926368</v>
      </c>
    </row>
    <row r="330" spans="1:5" x14ac:dyDescent="0.25">
      <c r="A330" s="1">
        <v>44305</v>
      </c>
      <c r="B330">
        <v>172</v>
      </c>
      <c r="C330">
        <v>2.2355284469075487</v>
      </c>
      <c r="D330">
        <v>172</v>
      </c>
      <c r="E330">
        <v>2.2355284469075487</v>
      </c>
    </row>
    <row r="331" spans="1:5" x14ac:dyDescent="0.25">
      <c r="A331" s="1">
        <v>44312</v>
      </c>
      <c r="B331">
        <v>185</v>
      </c>
      <c r="C331">
        <v>2.2671717284030137</v>
      </c>
      <c r="D331">
        <v>185</v>
      </c>
      <c r="E331">
        <v>2.2671717284030137</v>
      </c>
    </row>
    <row r="332" spans="1:5" x14ac:dyDescent="0.25">
      <c r="A332" s="1">
        <v>44319</v>
      </c>
      <c r="B332">
        <v>223</v>
      </c>
      <c r="C332">
        <v>2.3483048630481607</v>
      </c>
      <c r="D332">
        <v>223</v>
      </c>
      <c r="E332">
        <v>2.3483048630481607</v>
      </c>
    </row>
    <row r="333" spans="1:5" x14ac:dyDescent="0.25">
      <c r="A333" s="1">
        <v>44326</v>
      </c>
      <c r="B333">
        <v>150</v>
      </c>
      <c r="C333">
        <v>2.1760912590556813</v>
      </c>
      <c r="D333">
        <v>150</v>
      </c>
      <c r="E333">
        <v>2.1760912590556813</v>
      </c>
    </row>
    <row r="334" spans="1:5" x14ac:dyDescent="0.25">
      <c r="A334" s="1">
        <v>44333</v>
      </c>
      <c r="B334">
        <v>159</v>
      </c>
      <c r="C334">
        <v>2.2013971243204513</v>
      </c>
      <c r="D334">
        <v>159</v>
      </c>
      <c r="E334">
        <v>2.2013971243204513</v>
      </c>
    </row>
    <row r="335" spans="1:5" x14ac:dyDescent="0.25">
      <c r="A335" s="1">
        <v>44340</v>
      </c>
      <c r="B335">
        <v>163</v>
      </c>
      <c r="C335">
        <v>2.2121876044039577</v>
      </c>
      <c r="D335">
        <v>163</v>
      </c>
      <c r="E335">
        <v>2.2121876044039577</v>
      </c>
    </row>
    <row r="336" spans="1:5" x14ac:dyDescent="0.25">
      <c r="A336" s="1">
        <v>44347</v>
      </c>
      <c r="B336">
        <v>165</v>
      </c>
      <c r="C336">
        <v>2.2174839442139063</v>
      </c>
      <c r="D336">
        <v>165</v>
      </c>
      <c r="E336">
        <v>2.2174839442139063</v>
      </c>
    </row>
    <row r="337" spans="1:5" x14ac:dyDescent="0.25">
      <c r="A337" s="1">
        <v>44354</v>
      </c>
      <c r="B337">
        <v>149</v>
      </c>
      <c r="C337">
        <v>2.173186268412274</v>
      </c>
      <c r="D337">
        <v>149</v>
      </c>
      <c r="E337">
        <v>2.173186268412274</v>
      </c>
    </row>
    <row r="338" spans="1:5" x14ac:dyDescent="0.25">
      <c r="A338" s="1">
        <v>44361</v>
      </c>
      <c r="B338">
        <v>175</v>
      </c>
      <c r="C338">
        <v>2.2430380486862944</v>
      </c>
      <c r="D338">
        <v>175</v>
      </c>
      <c r="E338">
        <v>2.2430380486862944</v>
      </c>
    </row>
    <row r="339" spans="1:5" x14ac:dyDescent="0.25">
      <c r="A339" s="1">
        <v>44368</v>
      </c>
      <c r="B339">
        <v>144</v>
      </c>
      <c r="C339">
        <v>2.1583624920952498</v>
      </c>
      <c r="D339">
        <v>144</v>
      </c>
      <c r="E339">
        <v>2.1583624920952498</v>
      </c>
    </row>
    <row r="340" spans="1:5" x14ac:dyDescent="0.25">
      <c r="A340" s="1">
        <v>44375</v>
      </c>
      <c r="B340">
        <v>153</v>
      </c>
      <c r="C340">
        <v>2.1846914308175989</v>
      </c>
      <c r="D340">
        <v>153</v>
      </c>
      <c r="E340">
        <v>2.1846914308175989</v>
      </c>
    </row>
    <row r="341" spans="1:5" x14ac:dyDescent="0.25">
      <c r="A341" s="1">
        <v>44382</v>
      </c>
      <c r="B341">
        <v>134</v>
      </c>
      <c r="C341">
        <v>2.1271047983648077</v>
      </c>
      <c r="D341">
        <v>134</v>
      </c>
      <c r="E341">
        <v>2.1271047983648077</v>
      </c>
    </row>
    <row r="342" spans="1:5" x14ac:dyDescent="0.25">
      <c r="A342" s="1">
        <v>44389</v>
      </c>
      <c r="B342">
        <v>137</v>
      </c>
      <c r="C342">
        <v>2.1367205671564067</v>
      </c>
      <c r="D342">
        <v>137</v>
      </c>
      <c r="E342">
        <v>2.1367205671564067</v>
      </c>
    </row>
    <row r="343" spans="1:5" x14ac:dyDescent="0.25">
      <c r="A343" s="1">
        <v>44396</v>
      </c>
      <c r="B343">
        <v>155</v>
      </c>
      <c r="C343">
        <v>2.1903316981702914</v>
      </c>
      <c r="D343">
        <v>155</v>
      </c>
      <c r="E343">
        <v>2.1903316981702914</v>
      </c>
    </row>
    <row r="344" spans="1:5" x14ac:dyDescent="0.25">
      <c r="A344" s="1">
        <v>44403</v>
      </c>
      <c r="B344">
        <v>146</v>
      </c>
      <c r="C344">
        <v>2.1643528557844371</v>
      </c>
      <c r="D344">
        <v>146</v>
      </c>
      <c r="E344">
        <v>2.1643528557844371</v>
      </c>
    </row>
    <row r="345" spans="1:5" x14ac:dyDescent="0.25">
      <c r="A345" s="1">
        <v>44410</v>
      </c>
      <c r="B345">
        <v>159</v>
      </c>
      <c r="C345">
        <v>2.2013971243204513</v>
      </c>
      <c r="D345">
        <v>159</v>
      </c>
      <c r="E345">
        <v>2.2013971243204513</v>
      </c>
    </row>
    <row r="346" spans="1:5" x14ac:dyDescent="0.25">
      <c r="A346" s="1">
        <v>44417</v>
      </c>
      <c r="B346">
        <v>157</v>
      </c>
      <c r="C346">
        <v>2.1958996524092336</v>
      </c>
      <c r="D346">
        <v>157</v>
      </c>
      <c r="E346">
        <v>2.1958996524092336</v>
      </c>
    </row>
    <row r="347" spans="1:5" x14ac:dyDescent="0.25">
      <c r="A347" s="1">
        <v>44424</v>
      </c>
      <c r="B347">
        <v>151</v>
      </c>
      <c r="C347">
        <v>2.1789769472931693</v>
      </c>
      <c r="D347">
        <v>151</v>
      </c>
      <c r="E347">
        <v>2.1789769472931693</v>
      </c>
    </row>
    <row r="348" spans="1:5" x14ac:dyDescent="0.25">
      <c r="A348" s="1">
        <v>44431</v>
      </c>
      <c r="B348">
        <v>153</v>
      </c>
      <c r="C348">
        <v>2.1846914308175989</v>
      </c>
      <c r="D348">
        <v>153</v>
      </c>
      <c r="E348">
        <v>2.1846914308175989</v>
      </c>
    </row>
    <row r="349" spans="1:5" x14ac:dyDescent="0.25">
      <c r="A349" s="1">
        <v>44438</v>
      </c>
      <c r="B349">
        <v>149</v>
      </c>
      <c r="C349">
        <v>2.173186268412274</v>
      </c>
      <c r="D349">
        <v>149</v>
      </c>
      <c r="E349">
        <v>2.173186268412274</v>
      </c>
    </row>
    <row r="350" spans="1:5" x14ac:dyDescent="0.25">
      <c r="A350" s="1">
        <v>44445</v>
      </c>
      <c r="B350">
        <v>163</v>
      </c>
      <c r="C350">
        <v>2.2121876044039577</v>
      </c>
      <c r="D350">
        <v>163</v>
      </c>
      <c r="E350">
        <v>2.2121876044039577</v>
      </c>
    </row>
    <row r="351" spans="1:5" x14ac:dyDescent="0.25">
      <c r="A351" s="1">
        <v>44452</v>
      </c>
      <c r="B351">
        <v>157</v>
      </c>
      <c r="C351">
        <v>2.1958996524092336</v>
      </c>
      <c r="D351">
        <v>157</v>
      </c>
      <c r="E351">
        <v>2.1958996524092336</v>
      </c>
    </row>
    <row r="352" spans="1:5" x14ac:dyDescent="0.25">
      <c r="A352" s="1">
        <v>44459</v>
      </c>
      <c r="B352">
        <v>150</v>
      </c>
      <c r="C352">
        <v>2.1760912590556813</v>
      </c>
      <c r="D352">
        <v>150</v>
      </c>
      <c r="E352">
        <v>2.1760912590556813</v>
      </c>
    </row>
    <row r="353" spans="1:5" x14ac:dyDescent="0.25">
      <c r="A353" s="1">
        <v>44466</v>
      </c>
      <c r="B353">
        <v>165</v>
      </c>
      <c r="C353">
        <v>2.2174839442139063</v>
      </c>
      <c r="D353">
        <v>165</v>
      </c>
      <c r="E353">
        <v>2.2174839442139063</v>
      </c>
    </row>
    <row r="354" spans="1:5" x14ac:dyDescent="0.25">
      <c r="A354" s="1">
        <v>44473</v>
      </c>
      <c r="B354">
        <v>171</v>
      </c>
      <c r="C354">
        <v>2.2329961103921536</v>
      </c>
      <c r="D354">
        <v>171</v>
      </c>
      <c r="E354">
        <v>2.2329961103921536</v>
      </c>
    </row>
    <row r="355" spans="1:5" x14ac:dyDescent="0.25">
      <c r="A355" s="1">
        <v>44480</v>
      </c>
      <c r="B355">
        <v>180</v>
      </c>
      <c r="C355">
        <v>2.255272505103306</v>
      </c>
      <c r="D355">
        <v>180</v>
      </c>
      <c r="E355">
        <v>2.255272505103306</v>
      </c>
    </row>
    <row r="356" spans="1:5" x14ac:dyDescent="0.25">
      <c r="A356" s="1">
        <v>44487</v>
      </c>
      <c r="B356">
        <v>183</v>
      </c>
      <c r="C356">
        <v>2.2624510897304293</v>
      </c>
      <c r="D356">
        <v>183</v>
      </c>
      <c r="E356">
        <v>2.2624510897304293</v>
      </c>
    </row>
    <row r="357" spans="1:5" x14ac:dyDescent="0.25">
      <c r="A357" s="1">
        <v>44494</v>
      </c>
      <c r="B357">
        <v>195</v>
      </c>
      <c r="C357">
        <v>2.2900346113625178</v>
      </c>
      <c r="D357">
        <v>195</v>
      </c>
      <c r="E357">
        <v>2.2900346113625178</v>
      </c>
    </row>
    <row r="358" spans="1:5" x14ac:dyDescent="0.25">
      <c r="A358" s="1">
        <v>44501</v>
      </c>
      <c r="B358">
        <v>174</v>
      </c>
      <c r="C358">
        <v>2.2405492482825999</v>
      </c>
      <c r="D358">
        <v>174</v>
      </c>
      <c r="E358">
        <v>2.2405492482825999</v>
      </c>
    </row>
    <row r="359" spans="1:5" x14ac:dyDescent="0.25">
      <c r="A359" s="1">
        <v>44508</v>
      </c>
      <c r="B359">
        <v>187</v>
      </c>
      <c r="C359">
        <v>2.271841606536499</v>
      </c>
      <c r="D359">
        <v>187</v>
      </c>
      <c r="E359">
        <v>2.271841606536499</v>
      </c>
    </row>
    <row r="360" spans="1:5" x14ac:dyDescent="0.25">
      <c r="A360" s="1">
        <v>44515</v>
      </c>
      <c r="B360">
        <v>197</v>
      </c>
      <c r="C360">
        <v>2.2944662261615929</v>
      </c>
      <c r="D360">
        <v>197</v>
      </c>
      <c r="E360">
        <v>2.2944662261615929</v>
      </c>
    </row>
    <row r="361" spans="1:5" x14ac:dyDescent="0.25">
      <c r="A361" s="1">
        <v>44522</v>
      </c>
      <c r="B361">
        <v>181</v>
      </c>
      <c r="C361">
        <v>2.2576785748691846</v>
      </c>
      <c r="D361">
        <v>181</v>
      </c>
      <c r="E361">
        <v>2.2576785748691846</v>
      </c>
    </row>
    <row r="362" spans="1:5" x14ac:dyDescent="0.25">
      <c r="A362" s="1">
        <v>44529</v>
      </c>
      <c r="B362">
        <v>190</v>
      </c>
      <c r="C362">
        <v>2.2787536009528289</v>
      </c>
      <c r="D362">
        <v>190</v>
      </c>
      <c r="E362">
        <v>2.2787536009528289</v>
      </c>
    </row>
    <row r="363" spans="1:5" x14ac:dyDescent="0.25">
      <c r="A363" s="1">
        <v>44536</v>
      </c>
      <c r="B363">
        <v>182</v>
      </c>
      <c r="C363">
        <v>2.2600713879850747</v>
      </c>
      <c r="D363">
        <v>182</v>
      </c>
      <c r="E363">
        <v>2.2600713879850747</v>
      </c>
    </row>
    <row r="364" spans="1:5" x14ac:dyDescent="0.25">
      <c r="A364" s="1">
        <v>44543</v>
      </c>
      <c r="B364">
        <v>189</v>
      </c>
      <c r="C364">
        <v>2.2764618041732443</v>
      </c>
      <c r="D364">
        <v>189</v>
      </c>
      <c r="E364">
        <v>2.2764618041732443</v>
      </c>
    </row>
    <row r="365" spans="1:5" x14ac:dyDescent="0.25">
      <c r="A365" s="1">
        <v>44550</v>
      </c>
      <c r="B365">
        <v>199</v>
      </c>
      <c r="C365">
        <v>2.2988530764097068</v>
      </c>
      <c r="D365">
        <v>199</v>
      </c>
      <c r="E365">
        <v>2.2988530764097068</v>
      </c>
    </row>
    <row r="366" spans="1:5" x14ac:dyDescent="0.25">
      <c r="A366" s="1">
        <v>44557</v>
      </c>
      <c r="B366">
        <v>203</v>
      </c>
      <c r="C366">
        <v>2.307496037913213</v>
      </c>
      <c r="D366">
        <v>203</v>
      </c>
      <c r="E366">
        <v>2.307496037913213</v>
      </c>
    </row>
    <row r="367" spans="1:5" x14ac:dyDescent="0.25">
      <c r="A367" s="1">
        <v>44564</v>
      </c>
      <c r="B367">
        <v>203</v>
      </c>
      <c r="C367">
        <v>2.307496037913213</v>
      </c>
      <c r="D367">
        <v>203</v>
      </c>
      <c r="E367">
        <v>2.307496037913213</v>
      </c>
    </row>
    <row r="368" spans="1:5" x14ac:dyDescent="0.25">
      <c r="A368" s="1">
        <v>44571</v>
      </c>
      <c r="B368">
        <v>172</v>
      </c>
      <c r="C368">
        <v>2.2355284469075487</v>
      </c>
      <c r="D368">
        <v>172</v>
      </c>
      <c r="E368">
        <v>2.2355284469075487</v>
      </c>
    </row>
    <row r="369" spans="1:5" x14ac:dyDescent="0.25">
      <c r="A369" s="1">
        <v>44578</v>
      </c>
      <c r="B369">
        <v>207</v>
      </c>
      <c r="C369">
        <v>2.3159703454569178</v>
      </c>
      <c r="D369">
        <v>207</v>
      </c>
      <c r="E369">
        <v>2.3159703454569178</v>
      </c>
    </row>
    <row r="370" spans="1:5" x14ac:dyDescent="0.25">
      <c r="A370" s="1">
        <v>44585</v>
      </c>
      <c r="B370">
        <v>214</v>
      </c>
      <c r="C370">
        <v>2.330413773349191</v>
      </c>
      <c r="D370">
        <v>214</v>
      </c>
      <c r="E370">
        <v>2.330413773349191</v>
      </c>
    </row>
    <row r="371" spans="1:5" x14ac:dyDescent="0.25">
      <c r="A371" s="1">
        <v>44592</v>
      </c>
      <c r="B371">
        <v>223</v>
      </c>
      <c r="C371">
        <v>2.3483048630481607</v>
      </c>
      <c r="D371">
        <v>223</v>
      </c>
      <c r="E371">
        <v>2.3483048630481607</v>
      </c>
    </row>
    <row r="372" spans="1:5" x14ac:dyDescent="0.25">
      <c r="A372" s="1">
        <v>44599</v>
      </c>
      <c r="B372">
        <v>209</v>
      </c>
      <c r="C372">
        <v>2.3201462861110542</v>
      </c>
      <c r="D372">
        <v>209</v>
      </c>
      <c r="E372">
        <v>2.3201462861110542</v>
      </c>
    </row>
    <row r="373" spans="1:5" x14ac:dyDescent="0.25">
      <c r="A373" s="1">
        <v>44606</v>
      </c>
      <c r="B373">
        <v>164</v>
      </c>
      <c r="C373">
        <v>2.214843848047698</v>
      </c>
      <c r="D373">
        <v>164</v>
      </c>
      <c r="E373">
        <v>2.214843848047698</v>
      </c>
    </row>
    <row r="374" spans="1:5" x14ac:dyDescent="0.25">
      <c r="A374" s="1">
        <v>44613</v>
      </c>
      <c r="B374">
        <v>152</v>
      </c>
      <c r="C374">
        <v>2.1818435879447726</v>
      </c>
      <c r="D374">
        <v>152</v>
      </c>
      <c r="E374">
        <v>2.1818435879447726</v>
      </c>
    </row>
    <row r="375" spans="1:5" x14ac:dyDescent="0.25">
      <c r="A375" s="1">
        <v>44620</v>
      </c>
      <c r="B375">
        <v>136</v>
      </c>
      <c r="C375">
        <v>2.1335389083702174</v>
      </c>
      <c r="D375">
        <v>136</v>
      </c>
      <c r="E375">
        <v>2.1335389083702174</v>
      </c>
    </row>
    <row r="376" spans="1:5" x14ac:dyDescent="0.25">
      <c r="A376" s="1">
        <v>44627</v>
      </c>
      <c r="B376">
        <v>205</v>
      </c>
      <c r="C376">
        <v>2.3117538610557542</v>
      </c>
      <c r="D376">
        <v>205</v>
      </c>
      <c r="E376">
        <v>2.3117538610557542</v>
      </c>
    </row>
    <row r="377" spans="1:5" x14ac:dyDescent="0.25">
      <c r="A377" s="1">
        <v>44634</v>
      </c>
      <c r="B377">
        <v>188</v>
      </c>
      <c r="C377">
        <v>2.27415784926368</v>
      </c>
      <c r="D377">
        <v>188</v>
      </c>
      <c r="E377">
        <v>2.27415784926368</v>
      </c>
    </row>
    <row r="378" spans="1:5" x14ac:dyDescent="0.25">
      <c r="A378" s="1">
        <v>44641</v>
      </c>
      <c r="B378">
        <v>162</v>
      </c>
      <c r="C378">
        <v>2.2095150145426308</v>
      </c>
      <c r="D378">
        <v>162</v>
      </c>
      <c r="E378">
        <v>2.2095150145426308</v>
      </c>
    </row>
    <row r="379" spans="1:5" x14ac:dyDescent="0.25">
      <c r="A379" s="1">
        <v>44648</v>
      </c>
      <c r="B379">
        <v>178</v>
      </c>
      <c r="C379">
        <v>2.2504200023088941</v>
      </c>
      <c r="D379">
        <v>178</v>
      </c>
      <c r="E379">
        <v>2.2504200023088941</v>
      </c>
    </row>
    <row r="380" spans="1:5" x14ac:dyDescent="0.25">
      <c r="A380" s="1">
        <v>44655</v>
      </c>
      <c r="B380">
        <v>176</v>
      </c>
      <c r="C380">
        <v>2.2455126678141499</v>
      </c>
      <c r="D380">
        <v>176</v>
      </c>
      <c r="E380">
        <v>2.2455126678141499</v>
      </c>
    </row>
    <row r="381" spans="1:5" x14ac:dyDescent="0.25">
      <c r="A381" s="1">
        <v>44662</v>
      </c>
      <c r="B381">
        <v>193</v>
      </c>
      <c r="C381">
        <v>2.2855573090077739</v>
      </c>
      <c r="D381">
        <v>193</v>
      </c>
      <c r="E381">
        <v>2.2855573090077739</v>
      </c>
    </row>
    <row r="382" spans="1:5" x14ac:dyDescent="0.25">
      <c r="A382" s="1">
        <v>44669</v>
      </c>
      <c r="B382">
        <v>179</v>
      </c>
      <c r="C382">
        <v>2.2528530309798933</v>
      </c>
      <c r="D382">
        <v>179</v>
      </c>
      <c r="E382">
        <v>2.2528530309798933</v>
      </c>
    </row>
    <row r="383" spans="1:5" x14ac:dyDescent="0.25">
      <c r="A383" s="1">
        <v>44676</v>
      </c>
      <c r="B383">
        <v>149</v>
      </c>
      <c r="C383">
        <v>2.173186268412274</v>
      </c>
      <c r="D383">
        <v>149</v>
      </c>
      <c r="E383">
        <v>2.173186268412274</v>
      </c>
    </row>
    <row r="384" spans="1:5" x14ac:dyDescent="0.25">
      <c r="A384" s="1">
        <v>44683</v>
      </c>
      <c r="B384">
        <v>169</v>
      </c>
      <c r="C384">
        <v>2.2278867046136734</v>
      </c>
      <c r="D384">
        <v>169</v>
      </c>
      <c r="E384">
        <v>2.2278867046136734</v>
      </c>
    </row>
    <row r="385" spans="1:5" x14ac:dyDescent="0.25">
      <c r="A385" s="1">
        <v>44690</v>
      </c>
      <c r="B385">
        <v>142</v>
      </c>
      <c r="C385">
        <v>2.1522883443830563</v>
      </c>
      <c r="D385">
        <v>142</v>
      </c>
      <c r="E385">
        <v>2.1522883443830563</v>
      </c>
    </row>
    <row r="386" spans="1:5" x14ac:dyDescent="0.25">
      <c r="A386" s="1">
        <v>44697</v>
      </c>
      <c r="B386">
        <v>161</v>
      </c>
      <c r="C386">
        <v>2.2068258760318495</v>
      </c>
      <c r="D386">
        <v>161</v>
      </c>
      <c r="E386">
        <v>2.2068258760318495</v>
      </c>
    </row>
    <row r="387" spans="1:5" x14ac:dyDescent="0.25">
      <c r="A387" s="1">
        <v>44704</v>
      </c>
      <c r="B387">
        <v>148</v>
      </c>
      <c r="C387">
        <v>2.1702617153949575</v>
      </c>
      <c r="D387">
        <v>148</v>
      </c>
      <c r="E387">
        <v>2.1702617153949575</v>
      </c>
    </row>
    <row r="388" spans="1:5" x14ac:dyDescent="0.25">
      <c r="A388" s="1">
        <v>44711</v>
      </c>
      <c r="B388">
        <v>147</v>
      </c>
      <c r="C388">
        <v>2.167317334748176</v>
      </c>
      <c r="D388">
        <v>147</v>
      </c>
      <c r="E388">
        <v>2.167317334748176</v>
      </c>
    </row>
    <row r="389" spans="1:5" x14ac:dyDescent="0.25">
      <c r="A389" s="1">
        <v>44718</v>
      </c>
      <c r="B389">
        <v>149</v>
      </c>
      <c r="C389">
        <v>2.173186268412274</v>
      </c>
      <c r="D389">
        <v>149</v>
      </c>
      <c r="E389">
        <v>2.173186268412274</v>
      </c>
    </row>
    <row r="390" spans="1:5" x14ac:dyDescent="0.25">
      <c r="A390" s="1">
        <v>44725</v>
      </c>
      <c r="B390">
        <v>168</v>
      </c>
      <c r="C390">
        <v>2.2253092817258628</v>
      </c>
      <c r="D390">
        <v>168</v>
      </c>
      <c r="E390">
        <v>2.2253092817258628</v>
      </c>
    </row>
    <row r="391" spans="1:5" x14ac:dyDescent="0.25">
      <c r="A391" s="1">
        <v>44732</v>
      </c>
      <c r="B391">
        <v>165</v>
      </c>
      <c r="C391">
        <v>2.2174839442139063</v>
      </c>
      <c r="D391">
        <v>165</v>
      </c>
      <c r="E391">
        <v>2.2174839442139063</v>
      </c>
    </row>
    <row r="392" spans="1:5" x14ac:dyDescent="0.25">
      <c r="A392" s="1">
        <v>44739</v>
      </c>
      <c r="B392">
        <v>153</v>
      </c>
      <c r="C392">
        <v>2.1846914308175989</v>
      </c>
      <c r="D392">
        <v>153</v>
      </c>
      <c r="E392">
        <v>2.1846914308175989</v>
      </c>
    </row>
    <row r="393" spans="1:5" x14ac:dyDescent="0.25">
      <c r="A393" s="1">
        <v>44746</v>
      </c>
      <c r="B393">
        <v>151</v>
      </c>
      <c r="C393">
        <v>2.1789769472931693</v>
      </c>
      <c r="D393">
        <v>151</v>
      </c>
      <c r="E393">
        <v>2.1789769472931693</v>
      </c>
    </row>
    <row r="394" spans="1:5" x14ac:dyDescent="0.25">
      <c r="A394" s="1">
        <v>44753</v>
      </c>
      <c r="B394">
        <v>140</v>
      </c>
      <c r="C394">
        <v>2.1461280356782382</v>
      </c>
      <c r="D394">
        <v>140</v>
      </c>
      <c r="E394">
        <v>2.1461280356782382</v>
      </c>
    </row>
    <row r="395" spans="1:5" x14ac:dyDescent="0.25">
      <c r="A395" s="1">
        <v>44760</v>
      </c>
      <c r="B395">
        <v>199</v>
      </c>
      <c r="C395">
        <v>2.2988530764097068</v>
      </c>
      <c r="D395">
        <v>199</v>
      </c>
      <c r="E395">
        <v>2.2988530764097068</v>
      </c>
    </row>
    <row r="396" spans="1:5" x14ac:dyDescent="0.25">
      <c r="A396" s="1">
        <v>44767</v>
      </c>
      <c r="B396">
        <v>168</v>
      </c>
      <c r="C396">
        <v>2.2253092817258628</v>
      </c>
      <c r="D396">
        <v>168</v>
      </c>
      <c r="E396">
        <v>2.2253092817258628</v>
      </c>
    </row>
    <row r="397" spans="1:5" x14ac:dyDescent="0.25">
      <c r="A397" s="1">
        <v>44774</v>
      </c>
      <c r="B397">
        <v>161</v>
      </c>
      <c r="C397">
        <v>2.2068258760318495</v>
      </c>
      <c r="D397">
        <v>161</v>
      </c>
      <c r="E397">
        <v>2.2068258760318495</v>
      </c>
    </row>
    <row r="398" spans="1:5" x14ac:dyDescent="0.25">
      <c r="A398" s="1">
        <v>44781</v>
      </c>
      <c r="B398">
        <v>177</v>
      </c>
      <c r="C398">
        <v>2.2479732663618068</v>
      </c>
      <c r="D398">
        <v>177</v>
      </c>
      <c r="E398">
        <v>2.2479732663618068</v>
      </c>
    </row>
    <row r="399" spans="1:5" x14ac:dyDescent="0.25">
      <c r="A399" s="1">
        <v>44788</v>
      </c>
      <c r="B399">
        <v>149</v>
      </c>
      <c r="C399">
        <v>2.173186268412274</v>
      </c>
      <c r="D399">
        <v>149</v>
      </c>
      <c r="E399">
        <v>2.173186268412274</v>
      </c>
    </row>
    <row r="400" spans="1:5" x14ac:dyDescent="0.25">
      <c r="A400" s="1">
        <v>44795</v>
      </c>
      <c r="B400">
        <v>164</v>
      </c>
      <c r="C400">
        <v>2.214843848047698</v>
      </c>
      <c r="D400">
        <v>164</v>
      </c>
      <c r="E400">
        <v>2.214843848047698</v>
      </c>
    </row>
    <row r="401" spans="1:5" x14ac:dyDescent="0.25">
      <c r="A401" s="1">
        <v>44802</v>
      </c>
      <c r="B401">
        <v>138</v>
      </c>
      <c r="C401">
        <v>2.1398790864012365</v>
      </c>
      <c r="D401">
        <v>138</v>
      </c>
      <c r="E401">
        <v>2.1398790864012365</v>
      </c>
    </row>
    <row r="402" spans="1:5" x14ac:dyDescent="0.25">
      <c r="A402" s="1">
        <v>44809</v>
      </c>
      <c r="B402">
        <v>170</v>
      </c>
      <c r="C402">
        <v>2.2304489213782741</v>
      </c>
      <c r="D402">
        <v>170</v>
      </c>
      <c r="E402">
        <v>2.2304489213782741</v>
      </c>
    </row>
    <row r="403" spans="1:5" x14ac:dyDescent="0.25">
      <c r="A403" s="1">
        <v>44816</v>
      </c>
      <c r="B403">
        <v>143</v>
      </c>
      <c r="C403">
        <v>2.1553360374650619</v>
      </c>
      <c r="D403">
        <v>143</v>
      </c>
      <c r="E403">
        <v>2.1553360374650619</v>
      </c>
    </row>
    <row r="404" spans="1:5" x14ac:dyDescent="0.25">
      <c r="A404" s="1">
        <v>44823</v>
      </c>
      <c r="B404">
        <v>135</v>
      </c>
      <c r="C404">
        <v>2.1303337684950061</v>
      </c>
      <c r="D404">
        <v>135</v>
      </c>
      <c r="E404">
        <v>2.1303337684950061</v>
      </c>
    </row>
    <row r="405" spans="1:5" x14ac:dyDescent="0.25">
      <c r="A405" s="1">
        <v>44830</v>
      </c>
      <c r="B405">
        <v>150</v>
      </c>
      <c r="C405">
        <v>2.1760912590556813</v>
      </c>
      <c r="D405">
        <v>150</v>
      </c>
      <c r="E405">
        <v>2.1760912590556813</v>
      </c>
    </row>
    <row r="406" spans="1:5" x14ac:dyDescent="0.25">
      <c r="A406" s="1">
        <v>44837</v>
      </c>
      <c r="B406">
        <v>180</v>
      </c>
      <c r="C406">
        <v>2.255272505103306</v>
      </c>
      <c r="D406">
        <v>180</v>
      </c>
      <c r="E406">
        <v>2.255272505103306</v>
      </c>
    </row>
    <row r="407" spans="1:5" x14ac:dyDescent="0.25">
      <c r="A407" s="1">
        <v>44844</v>
      </c>
      <c r="B407">
        <v>151</v>
      </c>
      <c r="C407">
        <v>2.1789769472931693</v>
      </c>
      <c r="D407">
        <v>151</v>
      </c>
      <c r="E407">
        <v>2.1789769472931693</v>
      </c>
    </row>
    <row r="408" spans="1:5" x14ac:dyDescent="0.25">
      <c r="A408" s="1">
        <v>44851</v>
      </c>
      <c r="B408">
        <v>170</v>
      </c>
      <c r="C408">
        <v>2.2304489213782741</v>
      </c>
      <c r="D408">
        <v>170</v>
      </c>
      <c r="E408">
        <v>2.2304489213782741</v>
      </c>
    </row>
    <row r="409" spans="1:5" x14ac:dyDescent="0.25">
      <c r="A409" s="1">
        <v>44858</v>
      </c>
      <c r="B409">
        <v>186</v>
      </c>
      <c r="C409">
        <v>2.2695129442179165</v>
      </c>
      <c r="D409">
        <v>186</v>
      </c>
      <c r="E409">
        <v>2.2695129442179165</v>
      </c>
    </row>
    <row r="410" spans="1:5" x14ac:dyDescent="0.25">
      <c r="A410" s="1">
        <v>44865</v>
      </c>
      <c r="B410">
        <v>166</v>
      </c>
      <c r="C410">
        <v>2.220108088040055</v>
      </c>
      <c r="D410">
        <v>166</v>
      </c>
      <c r="E410">
        <v>2.220108088040055</v>
      </c>
    </row>
    <row r="411" spans="1:5" x14ac:dyDescent="0.25">
      <c r="A411" s="1">
        <v>44872</v>
      </c>
      <c r="B411">
        <v>165</v>
      </c>
      <c r="C411">
        <v>2.2174839442139063</v>
      </c>
      <c r="D411">
        <v>165</v>
      </c>
      <c r="E411">
        <v>2.2174839442139063</v>
      </c>
    </row>
    <row r="412" spans="1:5" x14ac:dyDescent="0.25">
      <c r="A412" s="1">
        <v>44879</v>
      </c>
      <c r="B412">
        <v>144</v>
      </c>
      <c r="C412">
        <v>2.1583624920952498</v>
      </c>
      <c r="D412">
        <v>144</v>
      </c>
      <c r="E412">
        <v>2.1583624920952498</v>
      </c>
    </row>
    <row r="413" spans="1:5" x14ac:dyDescent="0.25">
      <c r="A413" s="1">
        <v>44886</v>
      </c>
      <c r="B413">
        <v>185</v>
      </c>
      <c r="C413">
        <v>2.2671717284030137</v>
      </c>
      <c r="D413">
        <v>185</v>
      </c>
      <c r="E413">
        <v>2.2671717284030137</v>
      </c>
    </row>
    <row r="414" spans="1:5" x14ac:dyDescent="0.25">
      <c r="A414" s="1">
        <v>44893</v>
      </c>
      <c r="B414">
        <v>170</v>
      </c>
      <c r="C414">
        <v>2.2304489213782741</v>
      </c>
      <c r="D414">
        <v>170</v>
      </c>
      <c r="E414">
        <v>2.2304489213782741</v>
      </c>
    </row>
    <row r="415" spans="1:5" x14ac:dyDescent="0.25">
      <c r="A415" s="1">
        <v>44900</v>
      </c>
      <c r="B415">
        <v>154</v>
      </c>
      <c r="C415">
        <v>2.1875207208364631</v>
      </c>
      <c r="D415">
        <v>154</v>
      </c>
      <c r="E415">
        <v>2.1875207208364631</v>
      </c>
    </row>
    <row r="416" spans="1:5" x14ac:dyDescent="0.25">
      <c r="A416" s="1">
        <v>44907</v>
      </c>
      <c r="B416">
        <v>212</v>
      </c>
      <c r="C416">
        <v>2.3263358609287512</v>
      </c>
      <c r="D416">
        <v>212</v>
      </c>
      <c r="E416">
        <v>2.3263358609287512</v>
      </c>
    </row>
    <row r="417" spans="1:5" x14ac:dyDescent="0.25">
      <c r="A417" s="1">
        <v>44914</v>
      </c>
      <c r="B417">
        <v>234</v>
      </c>
      <c r="C417">
        <v>2.369215857410143</v>
      </c>
      <c r="D417">
        <v>234</v>
      </c>
      <c r="E417">
        <v>2.369215857410143</v>
      </c>
    </row>
    <row r="418" spans="1:5" x14ac:dyDescent="0.25">
      <c r="A418" s="1">
        <v>44921</v>
      </c>
      <c r="B418">
        <v>217</v>
      </c>
      <c r="C418">
        <v>2.3364597338485296</v>
      </c>
      <c r="D418">
        <v>217</v>
      </c>
      <c r="E418">
        <v>2.3364597338485296</v>
      </c>
    </row>
    <row r="419" spans="1:5" x14ac:dyDescent="0.25">
      <c r="A419" s="1">
        <v>44928</v>
      </c>
      <c r="B419">
        <v>212</v>
      </c>
      <c r="C419">
        <v>2.3263358609287512</v>
      </c>
      <c r="D419">
        <v>212</v>
      </c>
      <c r="E419">
        <v>2.3263358609287512</v>
      </c>
    </row>
    <row r="420" spans="1:5" x14ac:dyDescent="0.25">
      <c r="A420" s="1">
        <v>44935</v>
      </c>
      <c r="B420">
        <v>224</v>
      </c>
      <c r="C420">
        <v>2.3502480183341627</v>
      </c>
      <c r="D420">
        <v>224</v>
      </c>
      <c r="E420">
        <v>2.3502480183341627</v>
      </c>
    </row>
    <row r="421" spans="1:5" x14ac:dyDescent="0.25">
      <c r="A421" s="1">
        <v>44942</v>
      </c>
      <c r="B421">
        <v>171</v>
      </c>
      <c r="C421">
        <v>2.2329961103921536</v>
      </c>
      <c r="D421">
        <v>171</v>
      </c>
      <c r="E421">
        <v>2.2329961103921536</v>
      </c>
    </row>
    <row r="422" spans="1:5" x14ac:dyDescent="0.25">
      <c r="A422" s="1">
        <v>44949</v>
      </c>
      <c r="B422">
        <v>159</v>
      </c>
      <c r="C422">
        <v>2.2013971243204513</v>
      </c>
      <c r="D422">
        <v>159</v>
      </c>
      <c r="E422">
        <v>2.2013971243204513</v>
      </c>
    </row>
    <row r="423" spans="1:5" x14ac:dyDescent="0.25">
      <c r="A423" s="1">
        <v>44956</v>
      </c>
      <c r="B423">
        <v>185</v>
      </c>
      <c r="C423">
        <v>2.2671717284030137</v>
      </c>
      <c r="D423">
        <v>185</v>
      </c>
      <c r="E423">
        <v>2.2671717284030137</v>
      </c>
    </row>
    <row r="424" spans="1:5" x14ac:dyDescent="0.25">
      <c r="A424" s="1">
        <v>44963</v>
      </c>
      <c r="B424">
        <v>187</v>
      </c>
      <c r="C424">
        <v>2.271841606536499</v>
      </c>
      <c r="D424">
        <v>187</v>
      </c>
      <c r="E424">
        <v>2.271841606536499</v>
      </c>
    </row>
    <row r="425" spans="1:5" x14ac:dyDescent="0.25">
      <c r="A425" s="1">
        <v>44970</v>
      </c>
      <c r="B425">
        <v>168</v>
      </c>
      <c r="C425">
        <v>2.2253092817258628</v>
      </c>
      <c r="D425">
        <v>168</v>
      </c>
      <c r="E425">
        <v>2.2253092817258628</v>
      </c>
    </row>
    <row r="426" spans="1:5" x14ac:dyDescent="0.25">
      <c r="A426" s="1">
        <v>44977</v>
      </c>
      <c r="B426">
        <v>159</v>
      </c>
      <c r="C426">
        <v>2.2013971243204513</v>
      </c>
      <c r="D426">
        <v>159</v>
      </c>
      <c r="E426">
        <v>2.2013971243204513</v>
      </c>
    </row>
    <row r="427" spans="1:5" x14ac:dyDescent="0.25">
      <c r="A427" s="1">
        <v>44984</v>
      </c>
      <c r="B427">
        <v>166</v>
      </c>
      <c r="C427">
        <v>2.220108088040055</v>
      </c>
      <c r="D427">
        <v>166</v>
      </c>
      <c r="E427">
        <v>2.220108088040055</v>
      </c>
    </row>
    <row r="428" spans="1:5" x14ac:dyDescent="0.25">
      <c r="A428" s="1">
        <v>44991</v>
      </c>
      <c r="B428">
        <v>170</v>
      </c>
      <c r="C428">
        <v>2.2304489213782741</v>
      </c>
      <c r="D428">
        <v>170</v>
      </c>
      <c r="E428">
        <v>2.2304489213782741</v>
      </c>
    </row>
    <row r="429" spans="1:5" x14ac:dyDescent="0.25">
      <c r="A429" s="1">
        <v>44998</v>
      </c>
      <c r="B429">
        <v>164</v>
      </c>
      <c r="C429">
        <v>2.214843848047698</v>
      </c>
      <c r="D429">
        <v>164</v>
      </c>
      <c r="E429">
        <v>2.214843848047698</v>
      </c>
    </row>
    <row r="430" spans="1:5" x14ac:dyDescent="0.25">
      <c r="A430" s="1">
        <v>45005</v>
      </c>
      <c r="B430">
        <v>151</v>
      </c>
      <c r="C430">
        <v>2.1789769472931693</v>
      </c>
      <c r="D430">
        <v>151</v>
      </c>
      <c r="E430">
        <v>2.1789769472931693</v>
      </c>
    </row>
    <row r="431" spans="1:5" x14ac:dyDescent="0.25">
      <c r="A431" s="1">
        <v>45012</v>
      </c>
      <c r="B431">
        <v>178</v>
      </c>
      <c r="C431">
        <v>2.2504200023088941</v>
      </c>
      <c r="D431">
        <v>178</v>
      </c>
      <c r="E431">
        <v>2.2504200023088941</v>
      </c>
    </row>
    <row r="432" spans="1:5" x14ac:dyDescent="0.25">
      <c r="A432" s="1">
        <v>45019</v>
      </c>
      <c r="B432">
        <v>166</v>
      </c>
      <c r="C432">
        <v>2.220108088040055</v>
      </c>
      <c r="D432">
        <v>166</v>
      </c>
      <c r="E432">
        <v>2.220108088040055</v>
      </c>
    </row>
    <row r="433" spans="1:5" x14ac:dyDescent="0.25">
      <c r="A433" s="1">
        <v>45026</v>
      </c>
      <c r="B433">
        <v>170</v>
      </c>
      <c r="C433">
        <v>2.2304489213782741</v>
      </c>
      <c r="D433">
        <v>170</v>
      </c>
      <c r="E433">
        <v>2.2304489213782741</v>
      </c>
    </row>
    <row r="434" spans="1:5" x14ac:dyDescent="0.25">
      <c r="A434" s="1">
        <v>45033</v>
      </c>
      <c r="B434">
        <v>158</v>
      </c>
      <c r="C434">
        <v>2.1986570869544226</v>
      </c>
      <c r="D434">
        <v>158</v>
      </c>
      <c r="E434">
        <v>2.1986570869544226</v>
      </c>
    </row>
    <row r="435" spans="1:5" x14ac:dyDescent="0.25">
      <c r="A435" s="1">
        <v>45040</v>
      </c>
      <c r="B435">
        <v>167</v>
      </c>
      <c r="C435">
        <v>2.2227164711475833</v>
      </c>
      <c r="D435">
        <v>167</v>
      </c>
      <c r="E435">
        <v>2.2227164711475833</v>
      </c>
    </row>
    <row r="436" spans="1:5" x14ac:dyDescent="0.25">
      <c r="A436" s="1">
        <v>45047</v>
      </c>
      <c r="B436">
        <v>149</v>
      </c>
      <c r="C436">
        <v>2.173186268412274</v>
      </c>
      <c r="D436">
        <v>149</v>
      </c>
      <c r="E436">
        <v>2.173186268412274</v>
      </c>
    </row>
    <row r="437" spans="1:5" x14ac:dyDescent="0.25">
      <c r="A437" s="1">
        <v>45054</v>
      </c>
      <c r="B437">
        <v>174</v>
      </c>
      <c r="C437">
        <v>2.2405492482825999</v>
      </c>
      <c r="D437">
        <v>174</v>
      </c>
      <c r="E437">
        <v>2.2405492482825999</v>
      </c>
    </row>
    <row r="438" spans="1:5" x14ac:dyDescent="0.25">
      <c r="A438" s="1">
        <v>45061</v>
      </c>
      <c r="B438">
        <v>158</v>
      </c>
      <c r="C438">
        <v>2.1986570869544226</v>
      </c>
      <c r="D438">
        <v>158</v>
      </c>
      <c r="E438">
        <v>2.1986570869544226</v>
      </c>
    </row>
    <row r="439" spans="1:5" x14ac:dyDescent="0.25">
      <c r="A439" s="1">
        <v>45068</v>
      </c>
      <c r="B439">
        <v>134</v>
      </c>
      <c r="C439">
        <v>2.1271047983648077</v>
      </c>
      <c r="D439">
        <v>134</v>
      </c>
      <c r="E439">
        <v>2.1271047983648077</v>
      </c>
    </row>
    <row r="440" spans="1:5" x14ac:dyDescent="0.25">
      <c r="A440" s="1">
        <v>45075</v>
      </c>
      <c r="B440">
        <v>150</v>
      </c>
      <c r="C440">
        <v>2.1760912590556813</v>
      </c>
      <c r="D440">
        <v>150</v>
      </c>
      <c r="E440">
        <v>2.1760912590556813</v>
      </c>
    </row>
    <row r="441" spans="1:5" x14ac:dyDescent="0.25">
      <c r="A441" s="1">
        <v>45082</v>
      </c>
      <c r="B441">
        <v>164</v>
      </c>
      <c r="C441">
        <v>2.214843848047698</v>
      </c>
      <c r="D441">
        <v>164</v>
      </c>
      <c r="E441">
        <v>2.214843848047698</v>
      </c>
    </row>
    <row r="442" spans="1:5" x14ac:dyDescent="0.25">
      <c r="A442" s="1">
        <v>45089</v>
      </c>
      <c r="B442">
        <v>179</v>
      </c>
      <c r="C442">
        <v>2.2528530309798933</v>
      </c>
      <c r="D442">
        <v>179</v>
      </c>
      <c r="E442">
        <v>2.2528530309798933</v>
      </c>
    </row>
    <row r="443" spans="1:5" x14ac:dyDescent="0.25">
      <c r="A443" s="1">
        <v>45096</v>
      </c>
      <c r="B443">
        <v>120</v>
      </c>
      <c r="C443">
        <v>2.0791812460476247</v>
      </c>
      <c r="D443">
        <v>120</v>
      </c>
      <c r="E443">
        <v>2.0791812460476247</v>
      </c>
    </row>
    <row r="444" spans="1:5" x14ac:dyDescent="0.25">
      <c r="A444" s="1">
        <v>45103</v>
      </c>
      <c r="B444">
        <v>162</v>
      </c>
      <c r="C444">
        <v>2.2095150145426308</v>
      </c>
      <c r="D444">
        <v>162</v>
      </c>
      <c r="E444">
        <v>2.2095150145426308</v>
      </c>
    </row>
    <row r="445" spans="1:5" x14ac:dyDescent="0.25">
      <c r="A445" s="1">
        <v>45110</v>
      </c>
      <c r="B445">
        <v>151</v>
      </c>
      <c r="C445">
        <v>2.1789769472931693</v>
      </c>
      <c r="D445">
        <v>151</v>
      </c>
      <c r="E445">
        <v>2.1789769472931693</v>
      </c>
    </row>
    <row r="446" spans="1:5" x14ac:dyDescent="0.25">
      <c r="A446" s="1">
        <v>45117</v>
      </c>
      <c r="B446">
        <v>150</v>
      </c>
      <c r="C446">
        <v>2.1760912590556813</v>
      </c>
      <c r="D446">
        <v>150</v>
      </c>
      <c r="E446">
        <v>2.1760912590556813</v>
      </c>
    </row>
    <row r="447" spans="1:5" x14ac:dyDescent="0.25">
      <c r="A447" s="1">
        <v>45124</v>
      </c>
      <c r="B447">
        <v>142</v>
      </c>
      <c r="C447">
        <v>2.1522883443830563</v>
      </c>
      <c r="D447">
        <v>142</v>
      </c>
      <c r="E447">
        <v>2.1522883443830563</v>
      </c>
    </row>
    <row r="448" spans="1:5" x14ac:dyDescent="0.25">
      <c r="A448" s="1">
        <v>45131</v>
      </c>
      <c r="B448">
        <v>138</v>
      </c>
      <c r="C448">
        <v>2.1398790864012365</v>
      </c>
      <c r="D448">
        <v>138</v>
      </c>
      <c r="E448">
        <v>2.1398790864012365</v>
      </c>
    </row>
    <row r="449" spans="1:5" x14ac:dyDescent="0.25">
      <c r="A449" s="1">
        <v>45138</v>
      </c>
      <c r="B449">
        <v>144</v>
      </c>
      <c r="C449">
        <v>2.1583624920952498</v>
      </c>
      <c r="D449">
        <v>144</v>
      </c>
      <c r="E449">
        <v>2.1583624920952498</v>
      </c>
    </row>
    <row r="450" spans="1:5" x14ac:dyDescent="0.25">
      <c r="A450" s="1">
        <v>45145</v>
      </c>
      <c r="B450">
        <v>141</v>
      </c>
      <c r="C450">
        <v>2.1492191126553797</v>
      </c>
      <c r="D450">
        <v>141</v>
      </c>
      <c r="E450">
        <v>2.1492191126553797</v>
      </c>
    </row>
    <row r="451" spans="1:5" x14ac:dyDescent="0.25">
      <c r="A451" s="1">
        <v>45152</v>
      </c>
      <c r="B451">
        <v>147</v>
      </c>
      <c r="C451">
        <v>2.167317334748176</v>
      </c>
      <c r="D451">
        <v>147</v>
      </c>
      <c r="E451">
        <v>2.167317334748176</v>
      </c>
    </row>
    <row r="452" spans="1:5" x14ac:dyDescent="0.25">
      <c r="A452" s="1">
        <v>45159</v>
      </c>
      <c r="B452">
        <v>162</v>
      </c>
      <c r="C452">
        <v>2.2095150145426308</v>
      </c>
      <c r="D452">
        <v>162</v>
      </c>
      <c r="E452">
        <v>2.2095150145426308</v>
      </c>
    </row>
    <row r="453" spans="1:5" x14ac:dyDescent="0.25">
      <c r="A453" s="1">
        <v>45166</v>
      </c>
      <c r="B453">
        <v>157</v>
      </c>
      <c r="C453">
        <v>2.1958996524092336</v>
      </c>
      <c r="D453">
        <v>157</v>
      </c>
      <c r="E453">
        <v>2.1958996524092336</v>
      </c>
    </row>
    <row r="454" spans="1:5" x14ac:dyDescent="0.25">
      <c r="A454" s="1">
        <v>45173</v>
      </c>
      <c r="B454">
        <v>153</v>
      </c>
      <c r="C454">
        <v>2.1846914308175989</v>
      </c>
      <c r="D454">
        <v>153</v>
      </c>
      <c r="E454">
        <v>2.1846914308175989</v>
      </c>
    </row>
    <row r="455" spans="1:5" x14ac:dyDescent="0.25">
      <c r="A455" s="1">
        <v>45180</v>
      </c>
      <c r="B455">
        <v>158</v>
      </c>
      <c r="C455">
        <v>2.1986570869544226</v>
      </c>
      <c r="D455">
        <v>158</v>
      </c>
      <c r="E455">
        <v>2.1986570869544226</v>
      </c>
    </row>
    <row r="456" spans="1:5" x14ac:dyDescent="0.25">
      <c r="A456" s="1">
        <v>45187</v>
      </c>
      <c r="B456">
        <v>147</v>
      </c>
      <c r="C456">
        <v>2.167317334748176</v>
      </c>
      <c r="D456">
        <v>147</v>
      </c>
      <c r="E456">
        <v>2.167317334748176</v>
      </c>
    </row>
    <row r="457" spans="1:5" x14ac:dyDescent="0.25">
      <c r="A457" s="1">
        <v>45194</v>
      </c>
      <c r="B457">
        <v>165</v>
      </c>
      <c r="C457">
        <v>2.2174839442139063</v>
      </c>
      <c r="D457">
        <v>165</v>
      </c>
      <c r="E457">
        <v>2.2174839442139063</v>
      </c>
    </row>
    <row r="458" spans="1:5" x14ac:dyDescent="0.25">
      <c r="A458" s="1">
        <v>45201</v>
      </c>
      <c r="B458">
        <v>175</v>
      </c>
      <c r="C458">
        <v>2.2430380486862944</v>
      </c>
      <c r="D458">
        <v>175</v>
      </c>
      <c r="E458">
        <v>2.2430380486862944</v>
      </c>
    </row>
    <row r="459" spans="1:5" x14ac:dyDescent="0.25">
      <c r="A459" s="1">
        <v>45208</v>
      </c>
      <c r="B459">
        <v>155</v>
      </c>
      <c r="C459">
        <v>2.1903316981702914</v>
      </c>
      <c r="D459">
        <v>155</v>
      </c>
      <c r="E459">
        <v>2.1903316981702914</v>
      </c>
    </row>
    <row r="460" spans="1:5" x14ac:dyDescent="0.25">
      <c r="A460" s="1">
        <v>45215</v>
      </c>
      <c r="B460">
        <v>175</v>
      </c>
      <c r="C460">
        <v>2.2430380486862944</v>
      </c>
      <c r="D460">
        <v>175</v>
      </c>
      <c r="E460">
        <v>2.2430380486862944</v>
      </c>
    </row>
    <row r="461" spans="1:5" x14ac:dyDescent="0.25">
      <c r="A461" s="1">
        <v>45222</v>
      </c>
      <c r="B461">
        <v>176</v>
      </c>
      <c r="C461">
        <v>2.2455126678141499</v>
      </c>
      <c r="D461">
        <v>176</v>
      </c>
      <c r="E461">
        <v>2.2455126678141499</v>
      </c>
    </row>
    <row r="462" spans="1:5" x14ac:dyDescent="0.25">
      <c r="A462" s="1">
        <v>45229</v>
      </c>
      <c r="B462">
        <v>159</v>
      </c>
      <c r="C462">
        <v>2.2013971243204513</v>
      </c>
      <c r="D462">
        <v>159</v>
      </c>
      <c r="E462">
        <v>2.2013971243204513</v>
      </c>
    </row>
    <row r="463" spans="1:5" x14ac:dyDescent="0.25">
      <c r="A463" s="1">
        <v>45236</v>
      </c>
      <c r="B463">
        <v>170</v>
      </c>
      <c r="C463">
        <v>2.2304489213782741</v>
      </c>
      <c r="D463">
        <v>170</v>
      </c>
      <c r="E463">
        <v>2.2304489213782741</v>
      </c>
    </row>
    <row r="464" spans="1:5" x14ac:dyDescent="0.25">
      <c r="A464" s="1">
        <v>45243</v>
      </c>
      <c r="B464">
        <v>185</v>
      </c>
      <c r="C464">
        <v>2.2671717284030137</v>
      </c>
      <c r="D464">
        <v>185</v>
      </c>
      <c r="E464">
        <v>2.2671717284030137</v>
      </c>
    </row>
    <row r="465" spans="1:5" x14ac:dyDescent="0.25">
      <c r="A465" s="1">
        <v>45250</v>
      </c>
      <c r="B465">
        <v>150</v>
      </c>
      <c r="C465">
        <v>2.1760912590556813</v>
      </c>
      <c r="D465">
        <v>150</v>
      </c>
      <c r="E465">
        <v>2.1760912590556813</v>
      </c>
    </row>
    <row r="466" spans="1:5" x14ac:dyDescent="0.25">
      <c r="A466" s="1">
        <v>45257</v>
      </c>
      <c r="B466">
        <v>186</v>
      </c>
      <c r="C466">
        <v>2.2695129442179165</v>
      </c>
      <c r="D466">
        <v>186</v>
      </c>
      <c r="E466">
        <v>2.2695129442179165</v>
      </c>
    </row>
    <row r="467" spans="1:5" x14ac:dyDescent="0.25">
      <c r="A467" s="1">
        <v>45264</v>
      </c>
      <c r="B467">
        <v>209</v>
      </c>
      <c r="C467">
        <v>2.3201462861110542</v>
      </c>
      <c r="D467">
        <v>209</v>
      </c>
      <c r="E467">
        <v>2.3201462861110542</v>
      </c>
    </row>
    <row r="468" spans="1:5" x14ac:dyDescent="0.25">
      <c r="A468" s="1">
        <v>45271</v>
      </c>
      <c r="B468">
        <v>199</v>
      </c>
      <c r="C468">
        <v>2.2988530764097068</v>
      </c>
      <c r="D468">
        <v>199</v>
      </c>
      <c r="E468">
        <v>2.2988530764097068</v>
      </c>
    </row>
    <row r="469" spans="1:5" x14ac:dyDescent="0.25">
      <c r="A469" s="1">
        <v>45278</v>
      </c>
      <c r="B469">
        <v>202</v>
      </c>
      <c r="C469">
        <v>2.3053513694466239</v>
      </c>
      <c r="D469">
        <v>202</v>
      </c>
      <c r="E469">
        <v>2.3053513694466239</v>
      </c>
    </row>
    <row r="470" spans="1:5" x14ac:dyDescent="0.25">
      <c r="A470" s="1">
        <v>45285</v>
      </c>
      <c r="B470">
        <v>198</v>
      </c>
      <c r="C470">
        <v>2.2966651902615309</v>
      </c>
      <c r="D470">
        <v>198</v>
      </c>
      <c r="E470">
        <v>2.2966651902615309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F368-5EB2-4FB4-9825-52DBD6A01186}">
  <dimension ref="A1:I470"/>
  <sheetViews>
    <sheetView workbookViewId="0">
      <selection activeCell="G3" sqref="G3"/>
    </sheetView>
  </sheetViews>
  <sheetFormatPr defaultRowHeight="15" x14ac:dyDescent="0.25"/>
  <cols>
    <col min="2" max="2" width="14.28515625" customWidth="1"/>
    <col min="3" max="5" width="17" customWidth="1"/>
    <col min="6" max="6" width="14.5703125" customWidth="1"/>
    <col min="7" max="7" width="20.5703125" customWidth="1"/>
    <col min="8" max="8" width="21" customWidth="1"/>
    <col min="9" max="9" width="22.85546875" customWidth="1"/>
  </cols>
  <sheetData>
    <row r="1" spans="1:9" x14ac:dyDescent="0.25">
      <c r="A1" s="3" t="s">
        <v>0</v>
      </c>
      <c r="B1" s="3" t="s">
        <v>1</v>
      </c>
      <c r="C1" s="3" t="s">
        <v>15</v>
      </c>
      <c r="D1" s="3" t="s">
        <v>20</v>
      </c>
      <c r="E1" s="3" t="s">
        <v>18</v>
      </c>
      <c r="G1" s="3" t="s">
        <v>16</v>
      </c>
      <c r="H1" s="3" t="s">
        <v>17</v>
      </c>
      <c r="I1" s="3" t="s">
        <v>19</v>
      </c>
    </row>
    <row r="2" spans="1:9" x14ac:dyDescent="0.25">
      <c r="A2" s="1">
        <v>42009</v>
      </c>
      <c r="B2">
        <v>232</v>
      </c>
      <c r="C2" cm="1">
        <f t="array" ref="C2:C470">LOG10(B2:B470)</f>
        <v>2.3654879848908998</v>
      </c>
      <c r="D2">
        <f>1*$H$2</f>
        <v>251.70799999999997</v>
      </c>
      <c r="E2">
        <f>IF(B2-D2&gt;0,B2-D2, 0)</f>
        <v>0</v>
      </c>
      <c r="G2">
        <v>97.7</v>
      </c>
      <c r="H2">
        <f>_xlfn.PERCENTILE.INC(B2:B2:B470, G2/100)</f>
        <v>251.70799999999997</v>
      </c>
      <c r="I2">
        <f>SUM(E2:E470)</f>
        <v>969.21200000000033</v>
      </c>
    </row>
    <row r="3" spans="1:9" x14ac:dyDescent="0.25">
      <c r="A3" s="1">
        <v>42016</v>
      </c>
      <c r="B3">
        <v>194</v>
      </c>
      <c r="C3">
        <v>2.287801729930226</v>
      </c>
      <c r="D3">
        <f t="shared" ref="D3:D66" si="0">1*$H$2</f>
        <v>251.70799999999997</v>
      </c>
      <c r="E3">
        <f t="shared" ref="E3:E66" si="1">IF(B3-D3&gt;0,B3-D3, 0)</f>
        <v>0</v>
      </c>
    </row>
    <row r="4" spans="1:9" x14ac:dyDescent="0.25">
      <c r="A4" s="1">
        <v>42023</v>
      </c>
      <c r="B4">
        <v>226</v>
      </c>
      <c r="C4">
        <v>2.3541084391474008</v>
      </c>
      <c r="D4">
        <f t="shared" si="0"/>
        <v>251.70799999999997</v>
      </c>
      <c r="E4">
        <f t="shared" si="1"/>
        <v>0</v>
      </c>
    </row>
    <row r="5" spans="1:9" x14ac:dyDescent="0.25">
      <c r="A5" s="1">
        <v>42030</v>
      </c>
      <c r="B5">
        <v>211</v>
      </c>
      <c r="C5">
        <v>2.3242824552976926</v>
      </c>
      <c r="D5">
        <f t="shared" si="0"/>
        <v>251.70799999999997</v>
      </c>
      <c r="E5">
        <f t="shared" si="1"/>
        <v>0</v>
      </c>
    </row>
    <row r="6" spans="1:9" x14ac:dyDescent="0.25">
      <c r="A6" s="1">
        <v>42037</v>
      </c>
      <c r="B6">
        <v>243</v>
      </c>
      <c r="C6">
        <v>2.3856062735983121</v>
      </c>
      <c r="D6">
        <f t="shared" si="0"/>
        <v>251.70799999999997</v>
      </c>
      <c r="E6">
        <f t="shared" si="1"/>
        <v>0</v>
      </c>
    </row>
    <row r="7" spans="1:9" x14ac:dyDescent="0.25">
      <c r="A7" s="1">
        <v>42044</v>
      </c>
      <c r="B7">
        <v>241</v>
      </c>
      <c r="C7">
        <v>2.3820170425748683</v>
      </c>
      <c r="D7">
        <f t="shared" si="0"/>
        <v>251.70799999999997</v>
      </c>
      <c r="E7">
        <f t="shared" si="1"/>
        <v>0</v>
      </c>
    </row>
    <row r="8" spans="1:9" x14ac:dyDescent="0.25">
      <c r="A8" s="1">
        <v>42051</v>
      </c>
      <c r="B8">
        <v>228</v>
      </c>
      <c r="C8">
        <v>2.357934847000454</v>
      </c>
      <c r="D8">
        <f t="shared" si="0"/>
        <v>251.70799999999997</v>
      </c>
      <c r="E8">
        <f t="shared" si="1"/>
        <v>0</v>
      </c>
    </row>
    <row r="9" spans="1:9" x14ac:dyDescent="0.25">
      <c r="A9" s="1">
        <v>42058</v>
      </c>
      <c r="B9">
        <v>235</v>
      </c>
      <c r="C9">
        <v>2.3710678622717363</v>
      </c>
      <c r="D9">
        <f t="shared" si="0"/>
        <v>251.70799999999997</v>
      </c>
      <c r="E9">
        <f t="shared" si="1"/>
        <v>0</v>
      </c>
    </row>
    <row r="10" spans="1:9" x14ac:dyDescent="0.25">
      <c r="A10" s="1">
        <v>42065</v>
      </c>
      <c r="B10">
        <v>224</v>
      </c>
      <c r="C10">
        <v>2.3502480183341627</v>
      </c>
      <c r="D10">
        <f t="shared" si="0"/>
        <v>251.70799999999997</v>
      </c>
      <c r="E10">
        <f t="shared" si="1"/>
        <v>0</v>
      </c>
    </row>
    <row r="11" spans="1:9" x14ac:dyDescent="0.25">
      <c r="A11" s="1">
        <v>42072</v>
      </c>
      <c r="B11">
        <v>212</v>
      </c>
      <c r="C11">
        <v>2.3263358609287512</v>
      </c>
      <c r="D11">
        <f t="shared" si="0"/>
        <v>251.70799999999997</v>
      </c>
      <c r="E11">
        <f t="shared" si="1"/>
        <v>0</v>
      </c>
    </row>
    <row r="12" spans="1:9" x14ac:dyDescent="0.25">
      <c r="A12" s="1">
        <v>42079</v>
      </c>
      <c r="B12">
        <v>191</v>
      </c>
      <c r="C12">
        <v>2.2810333672477277</v>
      </c>
      <c r="D12">
        <f t="shared" si="0"/>
        <v>251.70799999999997</v>
      </c>
      <c r="E12">
        <f t="shared" si="1"/>
        <v>0</v>
      </c>
    </row>
    <row r="13" spans="1:9" x14ac:dyDescent="0.25">
      <c r="A13" s="1">
        <v>42086</v>
      </c>
      <c r="B13">
        <v>177</v>
      </c>
      <c r="C13">
        <v>2.2479732663618068</v>
      </c>
      <c r="D13">
        <f t="shared" si="0"/>
        <v>251.70799999999997</v>
      </c>
      <c r="E13">
        <f t="shared" si="1"/>
        <v>0</v>
      </c>
    </row>
    <row r="14" spans="1:9" x14ac:dyDescent="0.25">
      <c r="A14" s="1">
        <v>42093</v>
      </c>
      <c r="B14">
        <v>200</v>
      </c>
      <c r="C14">
        <v>2.3010299956639813</v>
      </c>
      <c r="D14">
        <f t="shared" si="0"/>
        <v>251.70799999999997</v>
      </c>
      <c r="E14">
        <f t="shared" si="1"/>
        <v>0</v>
      </c>
    </row>
    <row r="15" spans="1:9" x14ac:dyDescent="0.25">
      <c r="A15" s="1">
        <v>42100</v>
      </c>
      <c r="B15">
        <v>170</v>
      </c>
      <c r="C15">
        <v>2.2304489213782741</v>
      </c>
      <c r="D15">
        <f t="shared" si="0"/>
        <v>251.70799999999997</v>
      </c>
      <c r="E15">
        <f t="shared" si="1"/>
        <v>0</v>
      </c>
    </row>
    <row r="16" spans="1:9" x14ac:dyDescent="0.25">
      <c r="A16" s="1">
        <v>42107</v>
      </c>
      <c r="B16">
        <v>178</v>
      </c>
      <c r="C16">
        <v>2.2504200023088941</v>
      </c>
      <c r="D16">
        <f t="shared" si="0"/>
        <v>251.70799999999997</v>
      </c>
      <c r="E16">
        <f t="shared" si="1"/>
        <v>0</v>
      </c>
    </row>
    <row r="17" spans="1:5" x14ac:dyDescent="0.25">
      <c r="A17" s="1">
        <v>42114</v>
      </c>
      <c r="B17">
        <v>177</v>
      </c>
      <c r="C17">
        <v>2.2479732663618068</v>
      </c>
      <c r="D17">
        <f t="shared" si="0"/>
        <v>251.70799999999997</v>
      </c>
      <c r="E17">
        <f t="shared" si="1"/>
        <v>0</v>
      </c>
    </row>
    <row r="18" spans="1:5" x14ac:dyDescent="0.25">
      <c r="A18" s="1">
        <v>42121</v>
      </c>
      <c r="B18">
        <v>167</v>
      </c>
      <c r="C18">
        <v>2.2227164711475833</v>
      </c>
      <c r="D18">
        <f t="shared" si="0"/>
        <v>251.70799999999997</v>
      </c>
      <c r="E18">
        <f t="shared" si="1"/>
        <v>0</v>
      </c>
    </row>
    <row r="19" spans="1:5" x14ac:dyDescent="0.25">
      <c r="A19" s="1">
        <v>42128</v>
      </c>
      <c r="B19">
        <v>179</v>
      </c>
      <c r="C19">
        <v>2.2528530309798933</v>
      </c>
      <c r="D19">
        <f t="shared" si="0"/>
        <v>251.70799999999997</v>
      </c>
      <c r="E19">
        <f t="shared" si="1"/>
        <v>0</v>
      </c>
    </row>
    <row r="20" spans="1:5" x14ac:dyDescent="0.25">
      <c r="A20" s="1">
        <v>42135</v>
      </c>
      <c r="B20">
        <v>147</v>
      </c>
      <c r="C20">
        <v>2.167317334748176</v>
      </c>
      <c r="D20">
        <f t="shared" si="0"/>
        <v>251.70799999999997</v>
      </c>
      <c r="E20">
        <f t="shared" si="1"/>
        <v>0</v>
      </c>
    </row>
    <row r="21" spans="1:5" x14ac:dyDescent="0.25">
      <c r="A21" s="1">
        <v>42142</v>
      </c>
      <c r="B21">
        <v>155</v>
      </c>
      <c r="C21">
        <v>2.1903316981702914</v>
      </c>
      <c r="D21">
        <f t="shared" si="0"/>
        <v>251.70799999999997</v>
      </c>
      <c r="E21">
        <f t="shared" si="1"/>
        <v>0</v>
      </c>
    </row>
    <row r="22" spans="1:5" x14ac:dyDescent="0.25">
      <c r="A22" s="1">
        <v>42149</v>
      </c>
      <c r="B22">
        <v>171</v>
      </c>
      <c r="C22">
        <v>2.2329961103921536</v>
      </c>
      <c r="D22">
        <f t="shared" si="0"/>
        <v>251.70799999999997</v>
      </c>
      <c r="E22">
        <f t="shared" si="1"/>
        <v>0</v>
      </c>
    </row>
    <row r="23" spans="1:5" x14ac:dyDescent="0.25">
      <c r="A23" s="1">
        <v>42156</v>
      </c>
      <c r="B23">
        <v>153</v>
      </c>
      <c r="C23">
        <v>2.1846914308175989</v>
      </c>
      <c r="D23">
        <f t="shared" si="0"/>
        <v>251.70799999999997</v>
      </c>
      <c r="E23">
        <f t="shared" si="1"/>
        <v>0</v>
      </c>
    </row>
    <row r="24" spans="1:5" x14ac:dyDescent="0.25">
      <c r="A24" s="1">
        <v>42163</v>
      </c>
      <c r="B24">
        <v>170</v>
      </c>
      <c r="C24">
        <v>2.2304489213782741</v>
      </c>
      <c r="D24">
        <f t="shared" si="0"/>
        <v>251.70799999999997</v>
      </c>
      <c r="E24">
        <f t="shared" si="1"/>
        <v>0</v>
      </c>
    </row>
    <row r="25" spans="1:5" x14ac:dyDescent="0.25">
      <c r="A25" s="1">
        <v>42170</v>
      </c>
      <c r="B25">
        <v>163</v>
      </c>
      <c r="C25">
        <v>2.2121876044039577</v>
      </c>
      <c r="D25">
        <f t="shared" si="0"/>
        <v>251.70799999999997</v>
      </c>
      <c r="E25">
        <f t="shared" si="1"/>
        <v>0</v>
      </c>
    </row>
    <row r="26" spans="1:5" x14ac:dyDescent="0.25">
      <c r="A26" s="1">
        <v>42177</v>
      </c>
      <c r="B26">
        <v>152</v>
      </c>
      <c r="C26">
        <v>2.1818435879447726</v>
      </c>
      <c r="D26">
        <f t="shared" si="0"/>
        <v>251.70799999999997</v>
      </c>
      <c r="E26">
        <f t="shared" si="1"/>
        <v>0</v>
      </c>
    </row>
    <row r="27" spans="1:5" x14ac:dyDescent="0.25">
      <c r="A27" s="1">
        <v>42184</v>
      </c>
      <c r="B27">
        <v>194</v>
      </c>
      <c r="C27">
        <v>2.287801729930226</v>
      </c>
      <c r="D27">
        <f t="shared" si="0"/>
        <v>251.70799999999997</v>
      </c>
      <c r="E27">
        <f t="shared" si="1"/>
        <v>0</v>
      </c>
    </row>
    <row r="28" spans="1:5" x14ac:dyDescent="0.25">
      <c r="A28" s="1">
        <v>42191</v>
      </c>
      <c r="B28">
        <v>184</v>
      </c>
      <c r="C28">
        <v>2.2648178230095364</v>
      </c>
      <c r="D28">
        <f t="shared" si="0"/>
        <v>251.70799999999997</v>
      </c>
      <c r="E28">
        <f t="shared" si="1"/>
        <v>0</v>
      </c>
    </row>
    <row r="29" spans="1:5" x14ac:dyDescent="0.25">
      <c r="A29" s="1">
        <v>42198</v>
      </c>
      <c r="B29">
        <v>145</v>
      </c>
      <c r="C29">
        <v>2.1613680022349748</v>
      </c>
      <c r="D29">
        <f t="shared" si="0"/>
        <v>251.70799999999997</v>
      </c>
      <c r="E29">
        <f t="shared" si="1"/>
        <v>0</v>
      </c>
    </row>
    <row r="30" spans="1:5" x14ac:dyDescent="0.25">
      <c r="A30" s="1">
        <v>42205</v>
      </c>
      <c r="B30">
        <v>145</v>
      </c>
      <c r="C30">
        <v>2.1613680022349748</v>
      </c>
      <c r="D30">
        <f t="shared" si="0"/>
        <v>251.70799999999997</v>
      </c>
      <c r="E30">
        <f t="shared" si="1"/>
        <v>0</v>
      </c>
    </row>
    <row r="31" spans="1:5" x14ac:dyDescent="0.25">
      <c r="A31" s="1">
        <v>42212</v>
      </c>
      <c r="B31">
        <v>166</v>
      </c>
      <c r="C31">
        <v>2.220108088040055</v>
      </c>
      <c r="D31">
        <f t="shared" si="0"/>
        <v>251.70799999999997</v>
      </c>
      <c r="E31">
        <f t="shared" si="1"/>
        <v>0</v>
      </c>
    </row>
    <row r="32" spans="1:5" x14ac:dyDescent="0.25">
      <c r="A32" s="1">
        <v>42219</v>
      </c>
      <c r="B32">
        <v>192</v>
      </c>
      <c r="C32">
        <v>2.2833012287035497</v>
      </c>
      <c r="D32">
        <f t="shared" si="0"/>
        <v>251.70799999999997</v>
      </c>
      <c r="E32">
        <f t="shared" si="1"/>
        <v>0</v>
      </c>
    </row>
    <row r="33" spans="1:5" x14ac:dyDescent="0.25">
      <c r="A33" s="1">
        <v>42226</v>
      </c>
      <c r="B33">
        <v>157</v>
      </c>
      <c r="C33">
        <v>2.1958996524092336</v>
      </c>
      <c r="D33">
        <f t="shared" si="0"/>
        <v>251.70799999999997</v>
      </c>
      <c r="E33">
        <f t="shared" si="1"/>
        <v>0</v>
      </c>
    </row>
    <row r="34" spans="1:5" x14ac:dyDescent="0.25">
      <c r="A34" s="1">
        <v>42233</v>
      </c>
      <c r="B34">
        <v>138</v>
      </c>
      <c r="C34">
        <v>2.1398790864012365</v>
      </c>
      <c r="D34">
        <f t="shared" si="0"/>
        <v>251.70799999999997</v>
      </c>
      <c r="E34">
        <f t="shared" si="1"/>
        <v>0</v>
      </c>
    </row>
    <row r="35" spans="1:5" x14ac:dyDescent="0.25">
      <c r="A35" s="1">
        <v>42240</v>
      </c>
      <c r="B35">
        <v>173</v>
      </c>
      <c r="C35">
        <v>2.2380461031287955</v>
      </c>
      <c r="D35">
        <f t="shared" si="0"/>
        <v>251.70799999999997</v>
      </c>
      <c r="E35">
        <f t="shared" si="1"/>
        <v>0</v>
      </c>
    </row>
    <row r="36" spans="1:5" x14ac:dyDescent="0.25">
      <c r="A36" s="1">
        <v>42247</v>
      </c>
      <c r="B36">
        <v>161</v>
      </c>
      <c r="C36">
        <v>2.2068258760318495</v>
      </c>
      <c r="D36">
        <f t="shared" si="0"/>
        <v>251.70799999999997</v>
      </c>
      <c r="E36">
        <f t="shared" si="1"/>
        <v>0</v>
      </c>
    </row>
    <row r="37" spans="1:5" x14ac:dyDescent="0.25">
      <c r="A37" s="1">
        <v>42254</v>
      </c>
      <c r="B37">
        <v>149</v>
      </c>
      <c r="C37">
        <v>2.173186268412274</v>
      </c>
      <c r="D37">
        <f t="shared" si="0"/>
        <v>251.70799999999997</v>
      </c>
      <c r="E37">
        <f t="shared" si="1"/>
        <v>0</v>
      </c>
    </row>
    <row r="38" spans="1:5" x14ac:dyDescent="0.25">
      <c r="A38" s="1">
        <v>42261</v>
      </c>
      <c r="B38">
        <v>155</v>
      </c>
      <c r="C38">
        <v>2.1903316981702914</v>
      </c>
      <c r="D38">
        <f t="shared" si="0"/>
        <v>251.70799999999997</v>
      </c>
      <c r="E38">
        <f t="shared" si="1"/>
        <v>0</v>
      </c>
    </row>
    <row r="39" spans="1:5" x14ac:dyDescent="0.25">
      <c r="A39" s="1">
        <v>42268</v>
      </c>
      <c r="B39">
        <v>160</v>
      </c>
      <c r="C39">
        <v>2.2041199826559246</v>
      </c>
      <c r="D39">
        <f t="shared" si="0"/>
        <v>251.70799999999997</v>
      </c>
      <c r="E39">
        <f t="shared" si="1"/>
        <v>0</v>
      </c>
    </row>
    <row r="40" spans="1:5" x14ac:dyDescent="0.25">
      <c r="A40" s="1">
        <v>42275</v>
      </c>
      <c r="B40">
        <v>176</v>
      </c>
      <c r="C40">
        <v>2.2455126678141499</v>
      </c>
      <c r="D40">
        <f t="shared" si="0"/>
        <v>251.70799999999997</v>
      </c>
      <c r="E40">
        <f t="shared" si="1"/>
        <v>0</v>
      </c>
    </row>
    <row r="41" spans="1:5" x14ac:dyDescent="0.25">
      <c r="A41" s="1">
        <v>42282</v>
      </c>
      <c r="B41">
        <v>182</v>
      </c>
      <c r="C41">
        <v>2.2600713879850747</v>
      </c>
      <c r="D41">
        <f t="shared" si="0"/>
        <v>251.70799999999997</v>
      </c>
      <c r="E41">
        <f t="shared" si="1"/>
        <v>0</v>
      </c>
    </row>
    <row r="42" spans="1:5" x14ac:dyDescent="0.25">
      <c r="A42" s="1">
        <v>42289</v>
      </c>
      <c r="B42">
        <v>166</v>
      </c>
      <c r="C42">
        <v>2.220108088040055</v>
      </c>
      <c r="D42">
        <f t="shared" si="0"/>
        <v>251.70799999999997</v>
      </c>
      <c r="E42">
        <f t="shared" si="1"/>
        <v>0</v>
      </c>
    </row>
    <row r="43" spans="1:5" x14ac:dyDescent="0.25">
      <c r="A43" s="1">
        <v>42296</v>
      </c>
      <c r="B43">
        <v>178</v>
      </c>
      <c r="C43">
        <v>2.2504200023088941</v>
      </c>
      <c r="D43">
        <f t="shared" si="0"/>
        <v>251.70799999999997</v>
      </c>
      <c r="E43">
        <f t="shared" si="1"/>
        <v>0</v>
      </c>
    </row>
    <row r="44" spans="1:5" x14ac:dyDescent="0.25">
      <c r="A44" s="1">
        <v>42303</v>
      </c>
      <c r="B44">
        <v>165</v>
      </c>
      <c r="C44">
        <v>2.2174839442139063</v>
      </c>
      <c r="D44">
        <f t="shared" si="0"/>
        <v>251.70799999999997</v>
      </c>
      <c r="E44">
        <f t="shared" si="1"/>
        <v>0</v>
      </c>
    </row>
    <row r="45" spans="1:5" x14ac:dyDescent="0.25">
      <c r="A45" s="1">
        <v>42310</v>
      </c>
      <c r="B45">
        <v>163</v>
      </c>
      <c r="C45">
        <v>2.2121876044039577</v>
      </c>
      <c r="D45">
        <f t="shared" si="0"/>
        <v>251.70799999999997</v>
      </c>
      <c r="E45">
        <f t="shared" si="1"/>
        <v>0</v>
      </c>
    </row>
    <row r="46" spans="1:5" x14ac:dyDescent="0.25">
      <c r="A46" s="1">
        <v>42317</v>
      </c>
      <c r="B46">
        <v>171</v>
      </c>
      <c r="C46">
        <v>2.2329961103921536</v>
      </c>
      <c r="D46">
        <f t="shared" si="0"/>
        <v>251.70799999999997</v>
      </c>
      <c r="E46">
        <f t="shared" si="1"/>
        <v>0</v>
      </c>
    </row>
    <row r="47" spans="1:5" x14ac:dyDescent="0.25">
      <c r="A47" s="1">
        <v>42324</v>
      </c>
      <c r="B47">
        <v>194</v>
      </c>
      <c r="C47">
        <v>2.287801729930226</v>
      </c>
      <c r="D47">
        <f t="shared" si="0"/>
        <v>251.70799999999997</v>
      </c>
      <c r="E47">
        <f t="shared" si="1"/>
        <v>0</v>
      </c>
    </row>
    <row r="48" spans="1:5" x14ac:dyDescent="0.25">
      <c r="A48" s="1">
        <v>42331</v>
      </c>
      <c r="B48">
        <v>176</v>
      </c>
      <c r="C48">
        <v>2.2455126678141499</v>
      </c>
      <c r="D48">
        <f t="shared" si="0"/>
        <v>251.70799999999997</v>
      </c>
      <c r="E48">
        <f t="shared" si="1"/>
        <v>0</v>
      </c>
    </row>
    <row r="49" spans="1:5" x14ac:dyDescent="0.25">
      <c r="A49" s="1">
        <v>42338</v>
      </c>
      <c r="B49">
        <v>147</v>
      </c>
      <c r="C49">
        <v>2.167317334748176</v>
      </c>
      <c r="D49">
        <f t="shared" si="0"/>
        <v>251.70799999999997</v>
      </c>
      <c r="E49">
        <f t="shared" si="1"/>
        <v>0</v>
      </c>
    </row>
    <row r="50" spans="1:5" x14ac:dyDescent="0.25">
      <c r="A50" s="1">
        <v>42345</v>
      </c>
      <c r="B50">
        <v>176</v>
      </c>
      <c r="C50">
        <v>2.2455126678141499</v>
      </c>
      <c r="D50">
        <f t="shared" si="0"/>
        <v>251.70799999999997</v>
      </c>
      <c r="E50">
        <f t="shared" si="1"/>
        <v>0</v>
      </c>
    </row>
    <row r="51" spans="1:5" x14ac:dyDescent="0.25">
      <c r="A51" s="1">
        <v>42352</v>
      </c>
      <c r="B51">
        <v>156</v>
      </c>
      <c r="C51">
        <v>2.1931245983544616</v>
      </c>
      <c r="D51">
        <f t="shared" si="0"/>
        <v>251.70799999999997</v>
      </c>
      <c r="E51">
        <f t="shared" si="1"/>
        <v>0</v>
      </c>
    </row>
    <row r="52" spans="1:5" x14ac:dyDescent="0.25">
      <c r="A52" s="1">
        <v>42359</v>
      </c>
      <c r="B52">
        <v>151</v>
      </c>
      <c r="C52">
        <v>2.1789769472931693</v>
      </c>
      <c r="D52">
        <f t="shared" si="0"/>
        <v>251.70799999999997</v>
      </c>
      <c r="E52">
        <f t="shared" si="1"/>
        <v>0</v>
      </c>
    </row>
    <row r="53" spans="1:5" x14ac:dyDescent="0.25">
      <c r="A53" s="1">
        <v>42366</v>
      </c>
      <c r="B53">
        <v>163</v>
      </c>
      <c r="C53">
        <v>2.2121876044039577</v>
      </c>
      <c r="D53">
        <f t="shared" si="0"/>
        <v>251.70799999999997</v>
      </c>
      <c r="E53">
        <f t="shared" si="1"/>
        <v>0</v>
      </c>
    </row>
    <row r="54" spans="1:5" x14ac:dyDescent="0.25">
      <c r="A54" s="1">
        <v>42373</v>
      </c>
      <c r="B54">
        <v>171</v>
      </c>
      <c r="C54">
        <v>2.2329961103921536</v>
      </c>
      <c r="D54">
        <f t="shared" si="0"/>
        <v>251.70799999999997</v>
      </c>
      <c r="E54">
        <f t="shared" si="1"/>
        <v>0</v>
      </c>
    </row>
    <row r="55" spans="1:5" x14ac:dyDescent="0.25">
      <c r="A55" s="1">
        <v>42380</v>
      </c>
      <c r="B55">
        <v>191</v>
      </c>
      <c r="C55">
        <v>2.2810333672477277</v>
      </c>
      <c r="D55">
        <f t="shared" si="0"/>
        <v>251.70799999999997</v>
      </c>
      <c r="E55">
        <f t="shared" si="1"/>
        <v>0</v>
      </c>
    </row>
    <row r="56" spans="1:5" x14ac:dyDescent="0.25">
      <c r="A56" s="1">
        <v>42387</v>
      </c>
      <c r="B56">
        <v>182</v>
      </c>
      <c r="C56">
        <v>2.2600713879850747</v>
      </c>
      <c r="D56">
        <f t="shared" si="0"/>
        <v>251.70799999999997</v>
      </c>
      <c r="E56">
        <f t="shared" si="1"/>
        <v>0</v>
      </c>
    </row>
    <row r="57" spans="1:5" x14ac:dyDescent="0.25">
      <c r="A57" s="1">
        <v>42394</v>
      </c>
      <c r="B57">
        <v>195</v>
      </c>
      <c r="C57">
        <v>2.2900346113625178</v>
      </c>
      <c r="D57">
        <f t="shared" si="0"/>
        <v>251.70799999999997</v>
      </c>
      <c r="E57">
        <f t="shared" si="1"/>
        <v>0</v>
      </c>
    </row>
    <row r="58" spans="1:5" x14ac:dyDescent="0.25">
      <c r="A58" s="1">
        <v>42401</v>
      </c>
      <c r="B58">
        <v>192</v>
      </c>
      <c r="C58">
        <v>2.2833012287035497</v>
      </c>
      <c r="D58">
        <f t="shared" si="0"/>
        <v>251.70799999999997</v>
      </c>
      <c r="E58">
        <f t="shared" si="1"/>
        <v>0</v>
      </c>
    </row>
    <row r="59" spans="1:5" x14ac:dyDescent="0.25">
      <c r="A59" s="1">
        <v>42408</v>
      </c>
      <c r="B59">
        <v>167</v>
      </c>
      <c r="C59">
        <v>2.2227164711475833</v>
      </c>
      <c r="D59">
        <f t="shared" si="0"/>
        <v>251.70799999999997</v>
      </c>
      <c r="E59">
        <f t="shared" si="1"/>
        <v>0</v>
      </c>
    </row>
    <row r="60" spans="1:5" x14ac:dyDescent="0.25">
      <c r="A60" s="1">
        <v>42415</v>
      </c>
      <c r="B60">
        <v>166</v>
      </c>
      <c r="C60">
        <v>2.220108088040055</v>
      </c>
      <c r="D60">
        <f t="shared" si="0"/>
        <v>251.70799999999997</v>
      </c>
      <c r="E60">
        <f t="shared" si="1"/>
        <v>0</v>
      </c>
    </row>
    <row r="61" spans="1:5" x14ac:dyDescent="0.25">
      <c r="A61" s="1">
        <v>42422</v>
      </c>
      <c r="B61">
        <v>192</v>
      </c>
      <c r="C61">
        <v>2.2833012287035497</v>
      </c>
      <c r="D61">
        <f t="shared" si="0"/>
        <v>251.70799999999997</v>
      </c>
      <c r="E61">
        <f t="shared" si="1"/>
        <v>0</v>
      </c>
    </row>
    <row r="62" spans="1:5" x14ac:dyDescent="0.25">
      <c r="A62" s="1">
        <v>42429</v>
      </c>
      <c r="B62">
        <v>186</v>
      </c>
      <c r="C62">
        <v>2.2695129442179165</v>
      </c>
      <c r="D62">
        <f t="shared" si="0"/>
        <v>251.70799999999997</v>
      </c>
      <c r="E62">
        <f t="shared" si="1"/>
        <v>0</v>
      </c>
    </row>
    <row r="63" spans="1:5" x14ac:dyDescent="0.25">
      <c r="A63" s="1">
        <v>42436</v>
      </c>
      <c r="B63">
        <v>194</v>
      </c>
      <c r="C63">
        <v>2.287801729930226</v>
      </c>
      <c r="D63">
        <f t="shared" si="0"/>
        <v>251.70799999999997</v>
      </c>
      <c r="E63">
        <f t="shared" si="1"/>
        <v>0</v>
      </c>
    </row>
    <row r="64" spans="1:5" x14ac:dyDescent="0.25">
      <c r="A64" s="1">
        <v>42443</v>
      </c>
      <c r="B64">
        <v>193</v>
      </c>
      <c r="C64">
        <v>2.2855573090077739</v>
      </c>
      <c r="D64">
        <f t="shared" si="0"/>
        <v>251.70799999999997</v>
      </c>
      <c r="E64">
        <f t="shared" si="1"/>
        <v>0</v>
      </c>
    </row>
    <row r="65" spans="1:5" x14ac:dyDescent="0.25">
      <c r="A65" s="1">
        <v>42450</v>
      </c>
      <c r="B65">
        <v>232</v>
      </c>
      <c r="C65">
        <v>2.3654879848908998</v>
      </c>
      <c r="D65">
        <f t="shared" si="0"/>
        <v>251.70799999999997</v>
      </c>
      <c r="E65">
        <f t="shared" si="1"/>
        <v>0</v>
      </c>
    </row>
    <row r="66" spans="1:5" x14ac:dyDescent="0.25">
      <c r="A66" s="1">
        <v>42457</v>
      </c>
      <c r="B66">
        <v>179</v>
      </c>
      <c r="C66">
        <v>2.2528530309798933</v>
      </c>
      <c r="D66">
        <f t="shared" si="0"/>
        <v>251.70799999999997</v>
      </c>
      <c r="E66">
        <f t="shared" si="1"/>
        <v>0</v>
      </c>
    </row>
    <row r="67" spans="1:5" x14ac:dyDescent="0.25">
      <c r="A67" s="1">
        <v>42464</v>
      </c>
      <c r="B67">
        <v>157</v>
      </c>
      <c r="C67">
        <v>2.1958996524092336</v>
      </c>
      <c r="D67">
        <f t="shared" ref="D67:D130" si="2">1*$H$2</f>
        <v>251.70799999999997</v>
      </c>
      <c r="E67">
        <f t="shared" ref="E67:E130" si="3">IF(B67-D67&gt;0,B67-D67, 0)</f>
        <v>0</v>
      </c>
    </row>
    <row r="68" spans="1:5" x14ac:dyDescent="0.25">
      <c r="A68" s="1">
        <v>42471</v>
      </c>
      <c r="B68">
        <v>178</v>
      </c>
      <c r="C68">
        <v>2.2504200023088941</v>
      </c>
      <c r="D68">
        <f t="shared" si="2"/>
        <v>251.70799999999997</v>
      </c>
      <c r="E68">
        <f t="shared" si="3"/>
        <v>0</v>
      </c>
    </row>
    <row r="69" spans="1:5" x14ac:dyDescent="0.25">
      <c r="A69" s="1">
        <v>42478</v>
      </c>
      <c r="B69">
        <v>179</v>
      </c>
      <c r="C69">
        <v>2.2528530309798933</v>
      </c>
      <c r="D69">
        <f t="shared" si="2"/>
        <v>251.70799999999997</v>
      </c>
      <c r="E69">
        <f t="shared" si="3"/>
        <v>0</v>
      </c>
    </row>
    <row r="70" spans="1:5" x14ac:dyDescent="0.25">
      <c r="A70" s="1">
        <v>42485</v>
      </c>
      <c r="B70">
        <v>168</v>
      </c>
      <c r="C70">
        <v>2.2253092817258628</v>
      </c>
      <c r="D70">
        <f t="shared" si="2"/>
        <v>251.70799999999997</v>
      </c>
      <c r="E70">
        <f t="shared" si="3"/>
        <v>0</v>
      </c>
    </row>
    <row r="71" spans="1:5" x14ac:dyDescent="0.25">
      <c r="A71" s="1">
        <v>42492</v>
      </c>
      <c r="B71">
        <v>177</v>
      </c>
      <c r="C71">
        <v>2.2479732663618068</v>
      </c>
      <c r="D71">
        <f t="shared" si="2"/>
        <v>251.70799999999997</v>
      </c>
      <c r="E71">
        <f t="shared" si="3"/>
        <v>0</v>
      </c>
    </row>
    <row r="72" spans="1:5" x14ac:dyDescent="0.25">
      <c r="A72" s="1">
        <v>42499</v>
      </c>
      <c r="B72">
        <v>177</v>
      </c>
      <c r="C72">
        <v>2.2479732663618068</v>
      </c>
      <c r="D72">
        <f t="shared" si="2"/>
        <v>251.70799999999997</v>
      </c>
      <c r="E72">
        <f t="shared" si="3"/>
        <v>0</v>
      </c>
    </row>
    <row r="73" spans="1:5" x14ac:dyDescent="0.25">
      <c r="A73" s="1">
        <v>42506</v>
      </c>
      <c r="B73">
        <v>146</v>
      </c>
      <c r="C73">
        <v>2.1643528557844371</v>
      </c>
      <c r="D73">
        <f t="shared" si="2"/>
        <v>251.70799999999997</v>
      </c>
      <c r="E73">
        <f t="shared" si="3"/>
        <v>0</v>
      </c>
    </row>
    <row r="74" spans="1:5" x14ac:dyDescent="0.25">
      <c r="A74" s="1">
        <v>42513</v>
      </c>
      <c r="B74">
        <v>172</v>
      </c>
      <c r="C74">
        <v>2.2355284469075487</v>
      </c>
      <c r="D74">
        <f t="shared" si="2"/>
        <v>251.70799999999997</v>
      </c>
      <c r="E74">
        <f t="shared" si="3"/>
        <v>0</v>
      </c>
    </row>
    <row r="75" spans="1:5" x14ac:dyDescent="0.25">
      <c r="A75" s="1">
        <v>42520</v>
      </c>
      <c r="B75">
        <v>151</v>
      </c>
      <c r="C75">
        <v>2.1789769472931693</v>
      </c>
      <c r="D75">
        <f t="shared" si="2"/>
        <v>251.70799999999997</v>
      </c>
      <c r="E75">
        <f t="shared" si="3"/>
        <v>0</v>
      </c>
    </row>
    <row r="76" spans="1:5" x14ac:dyDescent="0.25">
      <c r="A76" s="1">
        <v>42527</v>
      </c>
      <c r="B76">
        <v>146</v>
      </c>
      <c r="C76">
        <v>2.1643528557844371</v>
      </c>
      <c r="D76">
        <f t="shared" si="2"/>
        <v>251.70799999999997</v>
      </c>
      <c r="E76">
        <f t="shared" si="3"/>
        <v>0</v>
      </c>
    </row>
    <row r="77" spans="1:5" x14ac:dyDescent="0.25">
      <c r="A77" s="1">
        <v>42534</v>
      </c>
      <c r="B77">
        <v>178</v>
      </c>
      <c r="C77">
        <v>2.2504200023088941</v>
      </c>
      <c r="D77">
        <f t="shared" si="2"/>
        <v>251.70799999999997</v>
      </c>
      <c r="E77">
        <f t="shared" si="3"/>
        <v>0</v>
      </c>
    </row>
    <row r="78" spans="1:5" x14ac:dyDescent="0.25">
      <c r="A78" s="1">
        <v>42541</v>
      </c>
      <c r="B78">
        <v>162</v>
      </c>
      <c r="C78">
        <v>2.2095150145426308</v>
      </c>
      <c r="D78">
        <f t="shared" si="2"/>
        <v>251.70799999999997</v>
      </c>
      <c r="E78">
        <f t="shared" si="3"/>
        <v>0</v>
      </c>
    </row>
    <row r="79" spans="1:5" x14ac:dyDescent="0.25">
      <c r="A79" s="1">
        <v>42548</v>
      </c>
      <c r="B79">
        <v>155</v>
      </c>
      <c r="C79">
        <v>2.1903316981702914</v>
      </c>
      <c r="D79">
        <f t="shared" si="2"/>
        <v>251.70799999999997</v>
      </c>
      <c r="E79">
        <f t="shared" si="3"/>
        <v>0</v>
      </c>
    </row>
    <row r="80" spans="1:5" x14ac:dyDescent="0.25">
      <c r="A80" s="1">
        <v>42555</v>
      </c>
      <c r="B80">
        <v>155</v>
      </c>
      <c r="C80">
        <v>2.1903316981702914</v>
      </c>
      <c r="D80">
        <f t="shared" si="2"/>
        <v>251.70799999999997</v>
      </c>
      <c r="E80">
        <f t="shared" si="3"/>
        <v>0</v>
      </c>
    </row>
    <row r="81" spans="1:5" x14ac:dyDescent="0.25">
      <c r="A81" s="1">
        <v>42562</v>
      </c>
      <c r="B81">
        <v>160</v>
      </c>
      <c r="C81">
        <v>2.2041199826559246</v>
      </c>
      <c r="D81">
        <f t="shared" si="2"/>
        <v>251.70799999999997</v>
      </c>
      <c r="E81">
        <f t="shared" si="3"/>
        <v>0</v>
      </c>
    </row>
    <row r="82" spans="1:5" x14ac:dyDescent="0.25">
      <c r="A82" s="1">
        <v>42569</v>
      </c>
      <c r="B82">
        <v>193</v>
      </c>
      <c r="C82">
        <v>2.2855573090077739</v>
      </c>
      <c r="D82">
        <f t="shared" si="2"/>
        <v>251.70799999999997</v>
      </c>
      <c r="E82">
        <f t="shared" si="3"/>
        <v>0</v>
      </c>
    </row>
    <row r="83" spans="1:5" x14ac:dyDescent="0.25">
      <c r="A83" s="1">
        <v>42576</v>
      </c>
      <c r="B83">
        <v>166</v>
      </c>
      <c r="C83">
        <v>2.220108088040055</v>
      </c>
      <c r="D83">
        <f t="shared" si="2"/>
        <v>251.70799999999997</v>
      </c>
      <c r="E83">
        <f t="shared" si="3"/>
        <v>0</v>
      </c>
    </row>
    <row r="84" spans="1:5" x14ac:dyDescent="0.25">
      <c r="A84" s="1">
        <v>42583</v>
      </c>
      <c r="B84">
        <v>144</v>
      </c>
      <c r="C84">
        <v>2.1583624920952498</v>
      </c>
      <c r="D84">
        <f t="shared" si="2"/>
        <v>251.70799999999997</v>
      </c>
      <c r="E84">
        <f t="shared" si="3"/>
        <v>0</v>
      </c>
    </row>
    <row r="85" spans="1:5" x14ac:dyDescent="0.25">
      <c r="A85" s="1">
        <v>42590</v>
      </c>
      <c r="B85">
        <v>167</v>
      </c>
      <c r="C85">
        <v>2.2227164711475833</v>
      </c>
      <c r="D85">
        <f t="shared" si="2"/>
        <v>251.70799999999997</v>
      </c>
      <c r="E85">
        <f t="shared" si="3"/>
        <v>0</v>
      </c>
    </row>
    <row r="86" spans="1:5" x14ac:dyDescent="0.25">
      <c r="A86" s="1">
        <v>42597</v>
      </c>
      <c r="B86">
        <v>149</v>
      </c>
      <c r="C86">
        <v>2.173186268412274</v>
      </c>
      <c r="D86">
        <f t="shared" si="2"/>
        <v>251.70799999999997</v>
      </c>
      <c r="E86">
        <f t="shared" si="3"/>
        <v>0</v>
      </c>
    </row>
    <row r="87" spans="1:5" x14ac:dyDescent="0.25">
      <c r="A87" s="1">
        <v>42604</v>
      </c>
      <c r="B87">
        <v>178</v>
      </c>
      <c r="C87">
        <v>2.2504200023088941</v>
      </c>
      <c r="D87">
        <f t="shared" si="2"/>
        <v>251.70799999999997</v>
      </c>
      <c r="E87">
        <f t="shared" si="3"/>
        <v>0</v>
      </c>
    </row>
    <row r="88" spans="1:5" x14ac:dyDescent="0.25">
      <c r="A88" s="1">
        <v>42611</v>
      </c>
      <c r="B88">
        <v>155</v>
      </c>
      <c r="C88">
        <v>2.1903316981702914</v>
      </c>
      <c r="D88">
        <f t="shared" si="2"/>
        <v>251.70799999999997</v>
      </c>
      <c r="E88">
        <f t="shared" si="3"/>
        <v>0</v>
      </c>
    </row>
    <row r="89" spans="1:5" x14ac:dyDescent="0.25">
      <c r="A89" s="1">
        <v>42618</v>
      </c>
      <c r="B89">
        <v>156</v>
      </c>
      <c r="C89">
        <v>2.1931245983544616</v>
      </c>
      <c r="D89">
        <f t="shared" si="2"/>
        <v>251.70799999999997</v>
      </c>
      <c r="E89">
        <f t="shared" si="3"/>
        <v>0</v>
      </c>
    </row>
    <row r="90" spans="1:5" x14ac:dyDescent="0.25">
      <c r="A90" s="1">
        <v>42625</v>
      </c>
      <c r="B90">
        <v>166</v>
      </c>
      <c r="C90">
        <v>2.220108088040055</v>
      </c>
      <c r="D90">
        <f t="shared" si="2"/>
        <v>251.70799999999997</v>
      </c>
      <c r="E90">
        <f t="shared" si="3"/>
        <v>0</v>
      </c>
    </row>
    <row r="91" spans="1:5" x14ac:dyDescent="0.25">
      <c r="A91" s="1">
        <v>42632</v>
      </c>
      <c r="B91">
        <v>133</v>
      </c>
      <c r="C91">
        <v>2.1238516409670858</v>
      </c>
      <c r="D91">
        <f t="shared" si="2"/>
        <v>251.70799999999997</v>
      </c>
      <c r="E91">
        <f t="shared" si="3"/>
        <v>0</v>
      </c>
    </row>
    <row r="92" spans="1:5" x14ac:dyDescent="0.25">
      <c r="A92" s="1">
        <v>42639</v>
      </c>
      <c r="B92">
        <v>165</v>
      </c>
      <c r="C92">
        <v>2.2174839442139063</v>
      </c>
      <c r="D92">
        <f t="shared" si="2"/>
        <v>251.70799999999997</v>
      </c>
      <c r="E92">
        <f t="shared" si="3"/>
        <v>0</v>
      </c>
    </row>
    <row r="93" spans="1:5" x14ac:dyDescent="0.25">
      <c r="A93" s="1">
        <v>42646</v>
      </c>
      <c r="B93">
        <v>155</v>
      </c>
      <c r="C93">
        <v>2.1903316981702914</v>
      </c>
      <c r="D93">
        <f t="shared" si="2"/>
        <v>251.70799999999997</v>
      </c>
      <c r="E93">
        <f t="shared" si="3"/>
        <v>0</v>
      </c>
    </row>
    <row r="94" spans="1:5" x14ac:dyDescent="0.25">
      <c r="A94" s="1">
        <v>42653</v>
      </c>
      <c r="B94">
        <v>170</v>
      </c>
      <c r="C94">
        <v>2.2304489213782741</v>
      </c>
      <c r="D94">
        <f t="shared" si="2"/>
        <v>251.70799999999997</v>
      </c>
      <c r="E94">
        <f t="shared" si="3"/>
        <v>0</v>
      </c>
    </row>
    <row r="95" spans="1:5" x14ac:dyDescent="0.25">
      <c r="A95" s="1">
        <v>42660</v>
      </c>
      <c r="B95">
        <v>181</v>
      </c>
      <c r="C95">
        <v>2.2576785748691846</v>
      </c>
      <c r="D95">
        <f t="shared" si="2"/>
        <v>251.70799999999997</v>
      </c>
      <c r="E95">
        <f t="shared" si="3"/>
        <v>0</v>
      </c>
    </row>
    <row r="96" spans="1:5" x14ac:dyDescent="0.25">
      <c r="A96" s="1">
        <v>42667</v>
      </c>
      <c r="B96">
        <v>165</v>
      </c>
      <c r="C96">
        <v>2.2174839442139063</v>
      </c>
      <c r="D96">
        <f t="shared" si="2"/>
        <v>251.70799999999997</v>
      </c>
      <c r="E96">
        <f t="shared" si="3"/>
        <v>0</v>
      </c>
    </row>
    <row r="97" spans="1:5" x14ac:dyDescent="0.25">
      <c r="A97" s="1">
        <v>42674</v>
      </c>
      <c r="B97">
        <v>165</v>
      </c>
      <c r="C97">
        <v>2.2174839442139063</v>
      </c>
      <c r="D97">
        <f t="shared" si="2"/>
        <v>251.70799999999997</v>
      </c>
      <c r="E97">
        <f t="shared" si="3"/>
        <v>0</v>
      </c>
    </row>
    <row r="98" spans="1:5" x14ac:dyDescent="0.25">
      <c r="A98" s="1">
        <v>42681</v>
      </c>
      <c r="B98">
        <v>193</v>
      </c>
      <c r="C98">
        <v>2.2855573090077739</v>
      </c>
      <c r="D98">
        <f t="shared" si="2"/>
        <v>251.70799999999997</v>
      </c>
      <c r="E98">
        <f t="shared" si="3"/>
        <v>0</v>
      </c>
    </row>
    <row r="99" spans="1:5" x14ac:dyDescent="0.25">
      <c r="A99" s="1">
        <v>42688</v>
      </c>
      <c r="B99">
        <v>190</v>
      </c>
      <c r="C99">
        <v>2.2787536009528289</v>
      </c>
      <c r="D99">
        <f t="shared" si="2"/>
        <v>251.70799999999997</v>
      </c>
      <c r="E99">
        <f t="shared" si="3"/>
        <v>0</v>
      </c>
    </row>
    <row r="100" spans="1:5" x14ac:dyDescent="0.25">
      <c r="A100" s="1">
        <v>42695</v>
      </c>
      <c r="B100">
        <v>186</v>
      </c>
      <c r="C100">
        <v>2.2695129442179165</v>
      </c>
      <c r="D100">
        <f t="shared" si="2"/>
        <v>251.70799999999997</v>
      </c>
      <c r="E100">
        <f t="shared" si="3"/>
        <v>0</v>
      </c>
    </row>
    <row r="101" spans="1:5" x14ac:dyDescent="0.25">
      <c r="A101" s="1">
        <v>42702</v>
      </c>
      <c r="B101">
        <v>192</v>
      </c>
      <c r="C101">
        <v>2.2833012287035497</v>
      </c>
      <c r="D101">
        <f t="shared" si="2"/>
        <v>251.70799999999997</v>
      </c>
      <c r="E101">
        <f t="shared" si="3"/>
        <v>0</v>
      </c>
    </row>
    <row r="102" spans="1:5" x14ac:dyDescent="0.25">
      <c r="A102" s="1">
        <v>42709</v>
      </c>
      <c r="B102">
        <v>178</v>
      </c>
      <c r="C102">
        <v>2.2504200023088941</v>
      </c>
      <c r="D102">
        <f t="shared" si="2"/>
        <v>251.70799999999997</v>
      </c>
      <c r="E102">
        <f t="shared" si="3"/>
        <v>0</v>
      </c>
    </row>
    <row r="103" spans="1:5" x14ac:dyDescent="0.25">
      <c r="A103" s="1">
        <v>42716</v>
      </c>
      <c r="B103">
        <v>194</v>
      </c>
      <c r="C103">
        <v>2.287801729930226</v>
      </c>
      <c r="D103">
        <f t="shared" si="2"/>
        <v>251.70799999999997</v>
      </c>
      <c r="E103">
        <f t="shared" si="3"/>
        <v>0</v>
      </c>
    </row>
    <row r="104" spans="1:5" x14ac:dyDescent="0.25">
      <c r="A104" s="1">
        <v>42723</v>
      </c>
      <c r="B104">
        <v>158</v>
      </c>
      <c r="C104">
        <v>2.1986570869544226</v>
      </c>
      <c r="D104">
        <f t="shared" si="2"/>
        <v>251.70799999999997</v>
      </c>
      <c r="E104">
        <f t="shared" si="3"/>
        <v>0</v>
      </c>
    </row>
    <row r="105" spans="1:5" x14ac:dyDescent="0.25">
      <c r="A105" s="1">
        <v>42730</v>
      </c>
      <c r="B105">
        <v>221</v>
      </c>
      <c r="C105">
        <v>2.3443922736851106</v>
      </c>
      <c r="D105">
        <f t="shared" si="2"/>
        <v>251.70799999999997</v>
      </c>
      <c r="E105">
        <f t="shared" si="3"/>
        <v>0</v>
      </c>
    </row>
    <row r="106" spans="1:5" x14ac:dyDescent="0.25">
      <c r="A106" s="1">
        <v>42737</v>
      </c>
      <c r="B106">
        <v>198</v>
      </c>
      <c r="C106">
        <v>2.2966651902615309</v>
      </c>
      <c r="D106">
        <f t="shared" si="2"/>
        <v>251.70799999999997</v>
      </c>
      <c r="E106">
        <f t="shared" si="3"/>
        <v>0</v>
      </c>
    </row>
    <row r="107" spans="1:5" x14ac:dyDescent="0.25">
      <c r="A107" s="1">
        <v>42744</v>
      </c>
      <c r="B107">
        <v>229</v>
      </c>
      <c r="C107">
        <v>2.3598354823398879</v>
      </c>
      <c r="D107">
        <f t="shared" si="2"/>
        <v>251.70799999999997</v>
      </c>
      <c r="E107">
        <f t="shared" si="3"/>
        <v>0</v>
      </c>
    </row>
    <row r="108" spans="1:5" x14ac:dyDescent="0.25">
      <c r="A108" s="1">
        <v>42751</v>
      </c>
      <c r="B108">
        <v>217</v>
      </c>
      <c r="C108">
        <v>2.3364597338485296</v>
      </c>
      <c r="D108">
        <f t="shared" si="2"/>
        <v>251.70799999999997</v>
      </c>
      <c r="E108">
        <f t="shared" si="3"/>
        <v>0</v>
      </c>
    </row>
    <row r="109" spans="1:5" x14ac:dyDescent="0.25">
      <c r="A109" s="1">
        <v>42758</v>
      </c>
      <c r="B109">
        <v>219</v>
      </c>
      <c r="C109">
        <v>2.3404441148401185</v>
      </c>
      <c r="D109">
        <f t="shared" si="2"/>
        <v>251.70799999999997</v>
      </c>
      <c r="E109">
        <f t="shared" si="3"/>
        <v>0</v>
      </c>
    </row>
    <row r="110" spans="1:5" x14ac:dyDescent="0.25">
      <c r="A110" s="1">
        <v>42765</v>
      </c>
      <c r="B110">
        <v>220</v>
      </c>
      <c r="C110">
        <v>2.3424226808222062</v>
      </c>
      <c r="D110">
        <f t="shared" si="2"/>
        <v>251.70799999999997</v>
      </c>
      <c r="E110">
        <f t="shared" si="3"/>
        <v>0</v>
      </c>
    </row>
    <row r="111" spans="1:5" x14ac:dyDescent="0.25">
      <c r="A111" s="1">
        <v>42772</v>
      </c>
      <c r="B111">
        <v>183</v>
      </c>
      <c r="C111">
        <v>2.2624510897304293</v>
      </c>
      <c r="D111">
        <f t="shared" si="2"/>
        <v>251.70799999999997</v>
      </c>
      <c r="E111">
        <f t="shared" si="3"/>
        <v>0</v>
      </c>
    </row>
    <row r="112" spans="1:5" x14ac:dyDescent="0.25">
      <c r="A112" s="1">
        <v>42779</v>
      </c>
      <c r="B112">
        <v>194</v>
      </c>
      <c r="C112">
        <v>2.287801729930226</v>
      </c>
      <c r="D112">
        <f t="shared" si="2"/>
        <v>251.70799999999997</v>
      </c>
      <c r="E112">
        <f t="shared" si="3"/>
        <v>0</v>
      </c>
    </row>
    <row r="113" spans="1:5" x14ac:dyDescent="0.25">
      <c r="A113" s="1">
        <v>42786</v>
      </c>
      <c r="B113">
        <v>197</v>
      </c>
      <c r="C113">
        <v>2.2944662261615929</v>
      </c>
      <c r="D113">
        <f t="shared" si="2"/>
        <v>251.70799999999997</v>
      </c>
      <c r="E113">
        <f t="shared" si="3"/>
        <v>0</v>
      </c>
    </row>
    <row r="114" spans="1:5" x14ac:dyDescent="0.25">
      <c r="A114" s="1">
        <v>42793</v>
      </c>
      <c r="B114">
        <v>187</v>
      </c>
      <c r="C114">
        <v>2.271841606536499</v>
      </c>
      <c r="D114">
        <f t="shared" si="2"/>
        <v>251.70799999999997</v>
      </c>
      <c r="E114">
        <f t="shared" si="3"/>
        <v>0</v>
      </c>
    </row>
    <row r="115" spans="1:5" x14ac:dyDescent="0.25">
      <c r="A115" s="1">
        <v>42800</v>
      </c>
      <c r="B115">
        <v>195</v>
      </c>
      <c r="C115">
        <v>2.2900346113625178</v>
      </c>
      <c r="D115">
        <f t="shared" si="2"/>
        <v>251.70799999999997</v>
      </c>
      <c r="E115">
        <f t="shared" si="3"/>
        <v>0</v>
      </c>
    </row>
    <row r="116" spans="1:5" x14ac:dyDescent="0.25">
      <c r="A116" s="1">
        <v>42807</v>
      </c>
      <c r="B116">
        <v>178</v>
      </c>
      <c r="C116">
        <v>2.2504200023088941</v>
      </c>
      <c r="D116">
        <f t="shared" si="2"/>
        <v>251.70799999999997</v>
      </c>
      <c r="E116">
        <f t="shared" si="3"/>
        <v>0</v>
      </c>
    </row>
    <row r="117" spans="1:5" x14ac:dyDescent="0.25">
      <c r="A117" s="1">
        <v>42814</v>
      </c>
      <c r="B117">
        <v>164</v>
      </c>
      <c r="C117">
        <v>2.214843848047698</v>
      </c>
      <c r="D117">
        <f t="shared" si="2"/>
        <v>251.70799999999997</v>
      </c>
      <c r="E117">
        <f t="shared" si="3"/>
        <v>0</v>
      </c>
    </row>
    <row r="118" spans="1:5" x14ac:dyDescent="0.25">
      <c r="A118" s="1">
        <v>42821</v>
      </c>
      <c r="B118">
        <v>164</v>
      </c>
      <c r="C118">
        <v>2.214843848047698</v>
      </c>
      <c r="D118">
        <f t="shared" si="2"/>
        <v>251.70799999999997</v>
      </c>
      <c r="E118">
        <f t="shared" si="3"/>
        <v>0</v>
      </c>
    </row>
    <row r="119" spans="1:5" x14ac:dyDescent="0.25">
      <c r="A119" s="1">
        <v>42828</v>
      </c>
      <c r="B119">
        <v>147</v>
      </c>
      <c r="C119">
        <v>2.167317334748176</v>
      </c>
      <c r="D119">
        <f t="shared" si="2"/>
        <v>251.70799999999997</v>
      </c>
      <c r="E119">
        <f t="shared" si="3"/>
        <v>0</v>
      </c>
    </row>
    <row r="120" spans="1:5" x14ac:dyDescent="0.25">
      <c r="A120" s="1">
        <v>42835</v>
      </c>
      <c r="B120">
        <v>149</v>
      </c>
      <c r="C120">
        <v>2.173186268412274</v>
      </c>
      <c r="D120">
        <f t="shared" si="2"/>
        <v>251.70799999999997</v>
      </c>
      <c r="E120">
        <f t="shared" si="3"/>
        <v>0</v>
      </c>
    </row>
    <row r="121" spans="1:5" x14ac:dyDescent="0.25">
      <c r="A121" s="1">
        <v>42842</v>
      </c>
      <c r="B121">
        <v>155</v>
      </c>
      <c r="C121">
        <v>2.1903316981702914</v>
      </c>
      <c r="D121">
        <f t="shared" si="2"/>
        <v>251.70799999999997</v>
      </c>
      <c r="E121">
        <f t="shared" si="3"/>
        <v>0</v>
      </c>
    </row>
    <row r="122" spans="1:5" x14ac:dyDescent="0.25">
      <c r="A122" s="1">
        <v>42849</v>
      </c>
      <c r="B122">
        <v>155</v>
      </c>
      <c r="C122">
        <v>2.1903316981702914</v>
      </c>
      <c r="D122">
        <f t="shared" si="2"/>
        <v>251.70799999999997</v>
      </c>
      <c r="E122">
        <f t="shared" si="3"/>
        <v>0</v>
      </c>
    </row>
    <row r="123" spans="1:5" x14ac:dyDescent="0.25">
      <c r="A123" s="1">
        <v>42856</v>
      </c>
      <c r="B123">
        <v>179</v>
      </c>
      <c r="C123">
        <v>2.2528530309798933</v>
      </c>
      <c r="D123">
        <f t="shared" si="2"/>
        <v>251.70799999999997</v>
      </c>
      <c r="E123">
        <f t="shared" si="3"/>
        <v>0</v>
      </c>
    </row>
    <row r="124" spans="1:5" x14ac:dyDescent="0.25">
      <c r="A124" s="1">
        <v>42863</v>
      </c>
      <c r="B124">
        <v>176</v>
      </c>
      <c r="C124">
        <v>2.2455126678141499</v>
      </c>
      <c r="D124">
        <f t="shared" si="2"/>
        <v>251.70799999999997</v>
      </c>
      <c r="E124">
        <f t="shared" si="3"/>
        <v>0</v>
      </c>
    </row>
    <row r="125" spans="1:5" x14ac:dyDescent="0.25">
      <c r="A125" s="1">
        <v>42870</v>
      </c>
      <c r="B125">
        <v>174</v>
      </c>
      <c r="C125">
        <v>2.2405492482825999</v>
      </c>
      <c r="D125">
        <f t="shared" si="2"/>
        <v>251.70799999999997</v>
      </c>
      <c r="E125">
        <f t="shared" si="3"/>
        <v>0</v>
      </c>
    </row>
    <row r="126" spans="1:5" x14ac:dyDescent="0.25">
      <c r="A126" s="1">
        <v>42877</v>
      </c>
      <c r="B126">
        <v>144</v>
      </c>
      <c r="C126">
        <v>2.1583624920952498</v>
      </c>
      <c r="D126">
        <f t="shared" si="2"/>
        <v>251.70799999999997</v>
      </c>
      <c r="E126">
        <f t="shared" si="3"/>
        <v>0</v>
      </c>
    </row>
    <row r="127" spans="1:5" x14ac:dyDescent="0.25">
      <c r="A127" s="1">
        <v>42884</v>
      </c>
      <c r="B127">
        <v>173</v>
      </c>
      <c r="C127">
        <v>2.2380461031287955</v>
      </c>
      <c r="D127">
        <f t="shared" si="2"/>
        <v>251.70799999999997</v>
      </c>
      <c r="E127">
        <f t="shared" si="3"/>
        <v>0</v>
      </c>
    </row>
    <row r="128" spans="1:5" x14ac:dyDescent="0.25">
      <c r="A128" s="1">
        <v>42891</v>
      </c>
      <c r="B128">
        <v>131</v>
      </c>
      <c r="C128">
        <v>2.1172712956557644</v>
      </c>
      <c r="D128">
        <f t="shared" si="2"/>
        <v>251.70799999999997</v>
      </c>
      <c r="E128">
        <f t="shared" si="3"/>
        <v>0</v>
      </c>
    </row>
    <row r="129" spans="1:5" x14ac:dyDescent="0.25">
      <c r="A129" s="1">
        <v>42898</v>
      </c>
      <c r="B129">
        <v>156</v>
      </c>
      <c r="C129">
        <v>2.1931245983544616</v>
      </c>
      <c r="D129">
        <f t="shared" si="2"/>
        <v>251.70799999999997</v>
      </c>
      <c r="E129">
        <f t="shared" si="3"/>
        <v>0</v>
      </c>
    </row>
    <row r="130" spans="1:5" x14ac:dyDescent="0.25">
      <c r="A130" s="1">
        <v>42905</v>
      </c>
      <c r="B130">
        <v>182</v>
      </c>
      <c r="C130">
        <v>2.2600713879850747</v>
      </c>
      <c r="D130">
        <f t="shared" si="2"/>
        <v>251.70799999999997</v>
      </c>
      <c r="E130">
        <f t="shared" si="3"/>
        <v>0</v>
      </c>
    </row>
    <row r="131" spans="1:5" x14ac:dyDescent="0.25">
      <c r="A131" s="1">
        <v>42912</v>
      </c>
      <c r="B131">
        <v>166</v>
      </c>
      <c r="C131">
        <v>2.220108088040055</v>
      </c>
      <c r="D131">
        <f t="shared" ref="D131:D194" si="4">1*$H$2</f>
        <v>251.70799999999997</v>
      </c>
      <c r="E131">
        <f t="shared" ref="E131:E194" si="5">IF(B131-D131&gt;0,B131-D131, 0)</f>
        <v>0</v>
      </c>
    </row>
    <row r="132" spans="1:5" x14ac:dyDescent="0.25">
      <c r="A132" s="1">
        <v>42919</v>
      </c>
      <c r="B132">
        <v>180</v>
      </c>
      <c r="C132">
        <v>2.255272505103306</v>
      </c>
      <c r="D132">
        <f t="shared" si="4"/>
        <v>251.70799999999997</v>
      </c>
      <c r="E132">
        <f t="shared" si="5"/>
        <v>0</v>
      </c>
    </row>
    <row r="133" spans="1:5" x14ac:dyDescent="0.25">
      <c r="A133" s="1">
        <v>42926</v>
      </c>
      <c r="B133">
        <v>185</v>
      </c>
      <c r="C133">
        <v>2.2671717284030137</v>
      </c>
      <c r="D133">
        <f t="shared" si="4"/>
        <v>251.70799999999997</v>
      </c>
      <c r="E133">
        <f t="shared" si="5"/>
        <v>0</v>
      </c>
    </row>
    <row r="134" spans="1:5" x14ac:dyDescent="0.25">
      <c r="A134" s="1">
        <v>42933</v>
      </c>
      <c r="B134">
        <v>159</v>
      </c>
      <c r="C134">
        <v>2.2013971243204513</v>
      </c>
      <c r="D134">
        <f t="shared" si="4"/>
        <v>251.70799999999997</v>
      </c>
      <c r="E134">
        <f t="shared" si="5"/>
        <v>0</v>
      </c>
    </row>
    <row r="135" spans="1:5" x14ac:dyDescent="0.25">
      <c r="A135" s="1">
        <v>42940</v>
      </c>
      <c r="B135">
        <v>139</v>
      </c>
      <c r="C135">
        <v>2.143014800254095</v>
      </c>
      <c r="D135">
        <f t="shared" si="4"/>
        <v>251.70799999999997</v>
      </c>
      <c r="E135">
        <f t="shared" si="5"/>
        <v>0</v>
      </c>
    </row>
    <row r="136" spans="1:5" x14ac:dyDescent="0.25">
      <c r="A136" s="1">
        <v>42947</v>
      </c>
      <c r="B136">
        <v>158</v>
      </c>
      <c r="C136">
        <v>2.1986570869544226</v>
      </c>
      <c r="D136">
        <f t="shared" si="4"/>
        <v>251.70799999999997</v>
      </c>
      <c r="E136">
        <f t="shared" si="5"/>
        <v>0</v>
      </c>
    </row>
    <row r="137" spans="1:5" x14ac:dyDescent="0.25">
      <c r="A137" s="1">
        <v>42954</v>
      </c>
      <c r="B137">
        <v>162</v>
      </c>
      <c r="C137">
        <v>2.2095150145426308</v>
      </c>
      <c r="D137">
        <f t="shared" si="4"/>
        <v>251.70799999999997</v>
      </c>
      <c r="E137">
        <f t="shared" si="5"/>
        <v>0</v>
      </c>
    </row>
    <row r="138" spans="1:5" x14ac:dyDescent="0.25">
      <c r="A138" s="1">
        <v>42961</v>
      </c>
      <c r="B138">
        <v>157</v>
      </c>
      <c r="C138">
        <v>2.1958996524092336</v>
      </c>
      <c r="D138">
        <f t="shared" si="4"/>
        <v>251.70799999999997</v>
      </c>
      <c r="E138">
        <f t="shared" si="5"/>
        <v>0</v>
      </c>
    </row>
    <row r="139" spans="1:5" x14ac:dyDescent="0.25">
      <c r="A139" s="1">
        <v>42968</v>
      </c>
      <c r="B139">
        <v>187</v>
      </c>
      <c r="C139">
        <v>2.271841606536499</v>
      </c>
      <c r="D139">
        <f t="shared" si="4"/>
        <v>251.70799999999997</v>
      </c>
      <c r="E139">
        <f t="shared" si="5"/>
        <v>0</v>
      </c>
    </row>
    <row r="140" spans="1:5" x14ac:dyDescent="0.25">
      <c r="A140" s="1">
        <v>42975</v>
      </c>
      <c r="B140">
        <v>157</v>
      </c>
      <c r="C140">
        <v>2.1958996524092336</v>
      </c>
      <c r="D140">
        <f t="shared" si="4"/>
        <v>251.70799999999997</v>
      </c>
      <c r="E140">
        <f t="shared" si="5"/>
        <v>0</v>
      </c>
    </row>
    <row r="141" spans="1:5" x14ac:dyDescent="0.25">
      <c r="A141" s="1">
        <v>42982</v>
      </c>
      <c r="B141">
        <v>175</v>
      </c>
      <c r="C141">
        <v>2.2430380486862944</v>
      </c>
      <c r="D141">
        <f t="shared" si="4"/>
        <v>251.70799999999997</v>
      </c>
      <c r="E141">
        <f t="shared" si="5"/>
        <v>0</v>
      </c>
    </row>
    <row r="142" spans="1:5" x14ac:dyDescent="0.25">
      <c r="A142" s="1">
        <v>42989</v>
      </c>
      <c r="B142">
        <v>143</v>
      </c>
      <c r="C142">
        <v>2.1553360374650619</v>
      </c>
      <c r="D142">
        <f t="shared" si="4"/>
        <v>251.70799999999997</v>
      </c>
      <c r="E142">
        <f t="shared" si="5"/>
        <v>0</v>
      </c>
    </row>
    <row r="143" spans="1:5" x14ac:dyDescent="0.25">
      <c r="A143" s="1">
        <v>42996</v>
      </c>
      <c r="B143">
        <v>166</v>
      </c>
      <c r="C143">
        <v>2.220108088040055</v>
      </c>
      <c r="D143">
        <f t="shared" si="4"/>
        <v>251.70799999999997</v>
      </c>
      <c r="E143">
        <f t="shared" si="5"/>
        <v>0</v>
      </c>
    </row>
    <row r="144" spans="1:5" x14ac:dyDescent="0.25">
      <c r="A144" s="1">
        <v>43003</v>
      </c>
      <c r="B144">
        <v>170</v>
      </c>
      <c r="C144">
        <v>2.2304489213782741</v>
      </c>
      <c r="D144">
        <f t="shared" si="4"/>
        <v>251.70799999999997</v>
      </c>
      <c r="E144">
        <f t="shared" si="5"/>
        <v>0</v>
      </c>
    </row>
    <row r="145" spans="1:5" x14ac:dyDescent="0.25">
      <c r="A145" s="1">
        <v>43010</v>
      </c>
      <c r="B145">
        <v>141</v>
      </c>
      <c r="C145">
        <v>2.1492191126553797</v>
      </c>
      <c r="D145">
        <f t="shared" si="4"/>
        <v>251.70799999999997</v>
      </c>
      <c r="E145">
        <f t="shared" si="5"/>
        <v>0</v>
      </c>
    </row>
    <row r="146" spans="1:5" x14ac:dyDescent="0.25">
      <c r="A146" s="1">
        <v>43017</v>
      </c>
      <c r="B146">
        <v>176</v>
      </c>
      <c r="C146">
        <v>2.2455126678141499</v>
      </c>
      <c r="D146">
        <f t="shared" si="4"/>
        <v>251.70799999999997</v>
      </c>
      <c r="E146">
        <f t="shared" si="5"/>
        <v>0</v>
      </c>
    </row>
    <row r="147" spans="1:5" x14ac:dyDescent="0.25">
      <c r="A147" s="1">
        <v>43024</v>
      </c>
      <c r="B147">
        <v>179</v>
      </c>
      <c r="C147">
        <v>2.2528530309798933</v>
      </c>
      <c r="D147">
        <f t="shared" si="4"/>
        <v>251.70799999999997</v>
      </c>
      <c r="E147">
        <f t="shared" si="5"/>
        <v>0</v>
      </c>
    </row>
    <row r="148" spans="1:5" x14ac:dyDescent="0.25">
      <c r="A148" s="1">
        <v>43031</v>
      </c>
      <c r="B148">
        <v>165</v>
      </c>
      <c r="C148">
        <v>2.2174839442139063</v>
      </c>
      <c r="D148">
        <f t="shared" si="4"/>
        <v>251.70799999999997</v>
      </c>
      <c r="E148">
        <f t="shared" si="5"/>
        <v>0</v>
      </c>
    </row>
    <row r="149" spans="1:5" x14ac:dyDescent="0.25">
      <c r="A149" s="1">
        <v>43038</v>
      </c>
      <c r="B149">
        <v>190</v>
      </c>
      <c r="C149">
        <v>2.2787536009528289</v>
      </c>
      <c r="D149">
        <f t="shared" si="4"/>
        <v>251.70799999999997</v>
      </c>
      <c r="E149">
        <f t="shared" si="5"/>
        <v>0</v>
      </c>
    </row>
    <row r="150" spans="1:5" x14ac:dyDescent="0.25">
      <c r="A150" s="1">
        <v>43045</v>
      </c>
      <c r="B150">
        <v>170</v>
      </c>
      <c r="C150">
        <v>2.2304489213782741</v>
      </c>
      <c r="D150">
        <f t="shared" si="4"/>
        <v>251.70799999999997</v>
      </c>
      <c r="E150">
        <f t="shared" si="5"/>
        <v>0</v>
      </c>
    </row>
    <row r="151" spans="1:5" x14ac:dyDescent="0.25">
      <c r="A151" s="1">
        <v>43052</v>
      </c>
      <c r="B151">
        <v>162</v>
      </c>
      <c r="C151">
        <v>2.2095150145426308</v>
      </c>
      <c r="D151">
        <f t="shared" si="4"/>
        <v>251.70799999999997</v>
      </c>
      <c r="E151">
        <f t="shared" si="5"/>
        <v>0</v>
      </c>
    </row>
    <row r="152" spans="1:5" x14ac:dyDescent="0.25">
      <c r="A152" s="1">
        <v>43059</v>
      </c>
      <c r="B152">
        <v>175</v>
      </c>
      <c r="C152">
        <v>2.2430380486862944</v>
      </c>
      <c r="D152">
        <f t="shared" si="4"/>
        <v>251.70799999999997</v>
      </c>
      <c r="E152">
        <f t="shared" si="5"/>
        <v>0</v>
      </c>
    </row>
    <row r="153" spans="1:5" x14ac:dyDescent="0.25">
      <c r="A153" s="1">
        <v>43066</v>
      </c>
      <c r="B153">
        <v>149</v>
      </c>
      <c r="C153">
        <v>2.173186268412274</v>
      </c>
      <c r="D153">
        <f t="shared" si="4"/>
        <v>251.70799999999997</v>
      </c>
      <c r="E153">
        <f t="shared" si="5"/>
        <v>0</v>
      </c>
    </row>
    <row r="154" spans="1:5" x14ac:dyDescent="0.25">
      <c r="A154" s="1">
        <v>43073</v>
      </c>
      <c r="B154">
        <v>186</v>
      </c>
      <c r="C154">
        <v>2.2695129442179165</v>
      </c>
      <c r="D154">
        <f t="shared" si="4"/>
        <v>251.70799999999997</v>
      </c>
      <c r="E154">
        <f t="shared" si="5"/>
        <v>0</v>
      </c>
    </row>
    <row r="155" spans="1:5" x14ac:dyDescent="0.25">
      <c r="A155" s="1">
        <v>43080</v>
      </c>
      <c r="B155">
        <v>186</v>
      </c>
      <c r="C155">
        <v>2.2695129442179165</v>
      </c>
      <c r="D155">
        <f t="shared" si="4"/>
        <v>251.70799999999997</v>
      </c>
      <c r="E155">
        <f t="shared" si="5"/>
        <v>0</v>
      </c>
    </row>
    <row r="156" spans="1:5" x14ac:dyDescent="0.25">
      <c r="A156" s="1">
        <v>43087</v>
      </c>
      <c r="B156">
        <v>179</v>
      </c>
      <c r="C156">
        <v>2.2528530309798933</v>
      </c>
      <c r="D156">
        <f t="shared" si="4"/>
        <v>251.70799999999997</v>
      </c>
      <c r="E156">
        <f t="shared" si="5"/>
        <v>0</v>
      </c>
    </row>
    <row r="157" spans="1:5" x14ac:dyDescent="0.25">
      <c r="A157" s="1">
        <v>43094</v>
      </c>
      <c r="B157">
        <v>178</v>
      </c>
      <c r="C157">
        <v>2.2504200023088941</v>
      </c>
      <c r="D157">
        <f t="shared" si="4"/>
        <v>251.70799999999997</v>
      </c>
      <c r="E157">
        <f t="shared" si="5"/>
        <v>0</v>
      </c>
    </row>
    <row r="158" spans="1:5" x14ac:dyDescent="0.25">
      <c r="A158" s="1">
        <v>43101</v>
      </c>
      <c r="B158">
        <v>175</v>
      </c>
      <c r="C158">
        <v>2.2430380486862944</v>
      </c>
      <c r="D158">
        <f t="shared" si="4"/>
        <v>251.70799999999997</v>
      </c>
      <c r="E158">
        <f t="shared" si="5"/>
        <v>0</v>
      </c>
    </row>
    <row r="159" spans="1:5" x14ac:dyDescent="0.25">
      <c r="A159" s="1">
        <v>43108</v>
      </c>
      <c r="B159">
        <v>168</v>
      </c>
      <c r="C159">
        <v>2.2253092817258628</v>
      </c>
      <c r="D159">
        <f t="shared" si="4"/>
        <v>251.70799999999997</v>
      </c>
      <c r="E159">
        <f t="shared" si="5"/>
        <v>0</v>
      </c>
    </row>
    <row r="160" spans="1:5" x14ac:dyDescent="0.25">
      <c r="A160" s="1">
        <v>43115</v>
      </c>
      <c r="B160">
        <v>178</v>
      </c>
      <c r="C160">
        <v>2.2504200023088941</v>
      </c>
      <c r="D160">
        <f t="shared" si="4"/>
        <v>251.70799999999997</v>
      </c>
      <c r="E160">
        <f t="shared" si="5"/>
        <v>0</v>
      </c>
    </row>
    <row r="161" spans="1:5" x14ac:dyDescent="0.25">
      <c r="A161" s="1">
        <v>43122</v>
      </c>
      <c r="B161">
        <v>181</v>
      </c>
      <c r="C161">
        <v>2.2576785748691846</v>
      </c>
      <c r="D161">
        <f t="shared" si="4"/>
        <v>251.70799999999997</v>
      </c>
      <c r="E161">
        <f t="shared" si="5"/>
        <v>0</v>
      </c>
    </row>
    <row r="162" spans="1:5" x14ac:dyDescent="0.25">
      <c r="A162" s="1">
        <v>43129</v>
      </c>
      <c r="B162">
        <v>196</v>
      </c>
      <c r="C162">
        <v>2.2922560713564759</v>
      </c>
      <c r="D162">
        <f t="shared" si="4"/>
        <v>251.70799999999997</v>
      </c>
      <c r="E162">
        <f t="shared" si="5"/>
        <v>0</v>
      </c>
    </row>
    <row r="163" spans="1:5" x14ac:dyDescent="0.25">
      <c r="A163" s="1">
        <v>43136</v>
      </c>
      <c r="B163">
        <v>181</v>
      </c>
      <c r="C163">
        <v>2.2576785748691846</v>
      </c>
      <c r="D163">
        <f t="shared" si="4"/>
        <v>251.70799999999997</v>
      </c>
      <c r="E163">
        <f t="shared" si="5"/>
        <v>0</v>
      </c>
    </row>
    <row r="164" spans="1:5" x14ac:dyDescent="0.25">
      <c r="A164" s="1">
        <v>43143</v>
      </c>
      <c r="B164">
        <v>200</v>
      </c>
      <c r="C164">
        <v>2.3010299956639813</v>
      </c>
      <c r="D164">
        <f t="shared" si="4"/>
        <v>251.70799999999997</v>
      </c>
      <c r="E164">
        <f t="shared" si="5"/>
        <v>0</v>
      </c>
    </row>
    <row r="165" spans="1:5" x14ac:dyDescent="0.25">
      <c r="A165" s="1">
        <v>43150</v>
      </c>
      <c r="B165">
        <v>184</v>
      </c>
      <c r="C165">
        <v>2.2648178230095364</v>
      </c>
      <c r="D165">
        <f t="shared" si="4"/>
        <v>251.70799999999997</v>
      </c>
      <c r="E165">
        <f t="shared" si="5"/>
        <v>0</v>
      </c>
    </row>
    <row r="166" spans="1:5" x14ac:dyDescent="0.25">
      <c r="A166" s="1">
        <v>43157</v>
      </c>
      <c r="B166">
        <v>226</v>
      </c>
      <c r="C166">
        <v>2.3541084391474008</v>
      </c>
      <c r="D166">
        <f t="shared" si="4"/>
        <v>251.70799999999997</v>
      </c>
      <c r="E166">
        <f t="shared" si="5"/>
        <v>0</v>
      </c>
    </row>
    <row r="167" spans="1:5" x14ac:dyDescent="0.25">
      <c r="A167" s="1">
        <v>43164</v>
      </c>
      <c r="B167">
        <v>251</v>
      </c>
      <c r="C167">
        <v>2.399673721481038</v>
      </c>
      <c r="D167">
        <f t="shared" si="4"/>
        <v>251.70799999999997</v>
      </c>
      <c r="E167">
        <f t="shared" si="5"/>
        <v>0</v>
      </c>
    </row>
    <row r="168" spans="1:5" x14ac:dyDescent="0.25">
      <c r="A168" s="1">
        <v>43171</v>
      </c>
      <c r="B168">
        <v>200</v>
      </c>
      <c r="C168">
        <v>2.3010299956639813</v>
      </c>
      <c r="D168">
        <f t="shared" si="4"/>
        <v>251.70799999999997</v>
      </c>
      <c r="E168">
        <f t="shared" si="5"/>
        <v>0</v>
      </c>
    </row>
    <row r="169" spans="1:5" x14ac:dyDescent="0.25">
      <c r="A169" s="1">
        <v>43178</v>
      </c>
      <c r="B169">
        <v>210</v>
      </c>
      <c r="C169">
        <v>2.3222192947339191</v>
      </c>
      <c r="D169">
        <f t="shared" si="4"/>
        <v>251.70799999999997</v>
      </c>
      <c r="E169">
        <f t="shared" si="5"/>
        <v>0</v>
      </c>
    </row>
    <row r="170" spans="1:5" x14ac:dyDescent="0.25">
      <c r="A170" s="1">
        <v>43185</v>
      </c>
      <c r="B170">
        <v>180</v>
      </c>
      <c r="C170">
        <v>2.255272505103306</v>
      </c>
      <c r="D170">
        <f t="shared" si="4"/>
        <v>251.70799999999997</v>
      </c>
      <c r="E170">
        <f t="shared" si="5"/>
        <v>0</v>
      </c>
    </row>
    <row r="171" spans="1:5" x14ac:dyDescent="0.25">
      <c r="A171" s="1">
        <v>43192</v>
      </c>
      <c r="B171">
        <v>187</v>
      </c>
      <c r="C171">
        <v>2.271841606536499</v>
      </c>
      <c r="D171">
        <f t="shared" si="4"/>
        <v>251.70799999999997</v>
      </c>
      <c r="E171">
        <f t="shared" si="5"/>
        <v>0</v>
      </c>
    </row>
    <row r="172" spans="1:5" x14ac:dyDescent="0.25">
      <c r="A172" s="1">
        <v>43199</v>
      </c>
      <c r="B172">
        <v>167</v>
      </c>
      <c r="C172">
        <v>2.2227164711475833</v>
      </c>
      <c r="D172">
        <f t="shared" si="4"/>
        <v>251.70799999999997</v>
      </c>
      <c r="E172">
        <f t="shared" si="5"/>
        <v>0</v>
      </c>
    </row>
    <row r="173" spans="1:5" x14ac:dyDescent="0.25">
      <c r="A173" s="1">
        <v>43206</v>
      </c>
      <c r="B173">
        <v>162</v>
      </c>
      <c r="C173">
        <v>2.2095150145426308</v>
      </c>
      <c r="D173">
        <f t="shared" si="4"/>
        <v>251.70799999999997</v>
      </c>
      <c r="E173">
        <f t="shared" si="5"/>
        <v>0</v>
      </c>
    </row>
    <row r="174" spans="1:5" x14ac:dyDescent="0.25">
      <c r="A174" s="1">
        <v>43213</v>
      </c>
      <c r="B174">
        <v>155</v>
      </c>
      <c r="C174">
        <v>2.1903316981702914</v>
      </c>
      <c r="D174">
        <f t="shared" si="4"/>
        <v>251.70799999999997</v>
      </c>
      <c r="E174">
        <f t="shared" si="5"/>
        <v>0</v>
      </c>
    </row>
    <row r="175" spans="1:5" x14ac:dyDescent="0.25">
      <c r="A175" s="1">
        <v>43220</v>
      </c>
      <c r="B175">
        <v>157</v>
      </c>
      <c r="C175">
        <v>2.1958996524092336</v>
      </c>
      <c r="D175">
        <f t="shared" si="4"/>
        <v>251.70799999999997</v>
      </c>
      <c r="E175">
        <f t="shared" si="5"/>
        <v>0</v>
      </c>
    </row>
    <row r="176" spans="1:5" x14ac:dyDescent="0.25">
      <c r="A176" s="1">
        <v>43227</v>
      </c>
      <c r="B176">
        <v>151</v>
      </c>
      <c r="C176">
        <v>2.1789769472931693</v>
      </c>
      <c r="D176">
        <f t="shared" si="4"/>
        <v>251.70799999999997</v>
      </c>
      <c r="E176">
        <f t="shared" si="5"/>
        <v>0</v>
      </c>
    </row>
    <row r="177" spans="1:5" x14ac:dyDescent="0.25">
      <c r="A177" s="1">
        <v>43234</v>
      </c>
      <c r="B177">
        <v>153</v>
      </c>
      <c r="C177">
        <v>2.1846914308175989</v>
      </c>
      <c r="D177">
        <f t="shared" si="4"/>
        <v>251.70799999999997</v>
      </c>
      <c r="E177">
        <f t="shared" si="5"/>
        <v>0</v>
      </c>
    </row>
    <row r="178" spans="1:5" x14ac:dyDescent="0.25">
      <c r="A178" s="1">
        <v>43241</v>
      </c>
      <c r="B178">
        <v>144</v>
      </c>
      <c r="C178">
        <v>2.1583624920952498</v>
      </c>
      <c r="D178">
        <f t="shared" si="4"/>
        <v>251.70799999999997</v>
      </c>
      <c r="E178">
        <f t="shared" si="5"/>
        <v>0</v>
      </c>
    </row>
    <row r="179" spans="1:5" x14ac:dyDescent="0.25">
      <c r="A179" s="1">
        <v>43248</v>
      </c>
      <c r="B179">
        <v>181</v>
      </c>
      <c r="C179">
        <v>2.2576785748691846</v>
      </c>
      <c r="D179">
        <f t="shared" si="4"/>
        <v>251.70799999999997</v>
      </c>
      <c r="E179">
        <f t="shared" si="5"/>
        <v>0</v>
      </c>
    </row>
    <row r="180" spans="1:5" x14ac:dyDescent="0.25">
      <c r="A180" s="1">
        <v>43255</v>
      </c>
      <c r="B180">
        <v>137</v>
      </c>
      <c r="C180">
        <v>2.1367205671564067</v>
      </c>
      <c r="D180">
        <f t="shared" si="4"/>
        <v>251.70799999999997</v>
      </c>
      <c r="E180">
        <f t="shared" si="5"/>
        <v>0</v>
      </c>
    </row>
    <row r="181" spans="1:5" x14ac:dyDescent="0.25">
      <c r="A181" s="1">
        <v>43262</v>
      </c>
      <c r="B181">
        <v>140</v>
      </c>
      <c r="C181">
        <v>2.1461280356782382</v>
      </c>
      <c r="D181">
        <f t="shared" si="4"/>
        <v>251.70799999999997</v>
      </c>
      <c r="E181">
        <f t="shared" si="5"/>
        <v>0</v>
      </c>
    </row>
    <row r="182" spans="1:5" x14ac:dyDescent="0.25">
      <c r="A182" s="1">
        <v>43269</v>
      </c>
      <c r="B182">
        <v>160</v>
      </c>
      <c r="C182">
        <v>2.2041199826559246</v>
      </c>
      <c r="D182">
        <f t="shared" si="4"/>
        <v>251.70799999999997</v>
      </c>
      <c r="E182">
        <f t="shared" si="5"/>
        <v>0</v>
      </c>
    </row>
    <row r="183" spans="1:5" x14ac:dyDescent="0.25">
      <c r="A183" s="1">
        <v>43276</v>
      </c>
      <c r="B183">
        <v>168</v>
      </c>
      <c r="C183">
        <v>2.2253092817258628</v>
      </c>
      <c r="D183">
        <f t="shared" si="4"/>
        <v>251.70799999999997</v>
      </c>
      <c r="E183">
        <f t="shared" si="5"/>
        <v>0</v>
      </c>
    </row>
    <row r="184" spans="1:5" x14ac:dyDescent="0.25">
      <c r="A184" s="1">
        <v>43283</v>
      </c>
      <c r="B184">
        <v>182</v>
      </c>
      <c r="C184">
        <v>2.2600713879850747</v>
      </c>
      <c r="D184">
        <f t="shared" si="4"/>
        <v>251.70799999999997</v>
      </c>
      <c r="E184">
        <f t="shared" si="5"/>
        <v>0</v>
      </c>
    </row>
    <row r="185" spans="1:5" x14ac:dyDescent="0.25">
      <c r="A185" s="1">
        <v>43290</v>
      </c>
      <c r="B185">
        <v>157</v>
      </c>
      <c r="C185">
        <v>2.1958996524092336</v>
      </c>
      <c r="D185">
        <f t="shared" si="4"/>
        <v>251.70799999999997</v>
      </c>
      <c r="E185">
        <f t="shared" si="5"/>
        <v>0</v>
      </c>
    </row>
    <row r="186" spans="1:5" x14ac:dyDescent="0.25">
      <c r="A186" s="1">
        <v>43297</v>
      </c>
      <c r="B186">
        <v>164</v>
      </c>
      <c r="C186">
        <v>2.214843848047698</v>
      </c>
      <c r="D186">
        <f t="shared" si="4"/>
        <v>251.70799999999997</v>
      </c>
      <c r="E186">
        <f t="shared" si="5"/>
        <v>0</v>
      </c>
    </row>
    <row r="187" spans="1:5" x14ac:dyDescent="0.25">
      <c r="A187" s="1">
        <v>43304</v>
      </c>
      <c r="B187">
        <v>172</v>
      </c>
      <c r="C187">
        <v>2.2355284469075487</v>
      </c>
      <c r="D187">
        <f t="shared" si="4"/>
        <v>251.70799999999997</v>
      </c>
      <c r="E187">
        <f t="shared" si="5"/>
        <v>0</v>
      </c>
    </row>
    <row r="188" spans="1:5" x14ac:dyDescent="0.25">
      <c r="A188" s="1">
        <v>43311</v>
      </c>
      <c r="B188">
        <v>160</v>
      </c>
      <c r="C188">
        <v>2.2041199826559246</v>
      </c>
      <c r="D188">
        <f t="shared" si="4"/>
        <v>251.70799999999997</v>
      </c>
      <c r="E188">
        <f t="shared" si="5"/>
        <v>0</v>
      </c>
    </row>
    <row r="189" spans="1:5" x14ac:dyDescent="0.25">
      <c r="A189" s="1">
        <v>43318</v>
      </c>
      <c r="B189">
        <v>195</v>
      </c>
      <c r="C189">
        <v>2.2900346113625178</v>
      </c>
      <c r="D189">
        <f t="shared" si="4"/>
        <v>251.70799999999997</v>
      </c>
      <c r="E189">
        <f t="shared" si="5"/>
        <v>0</v>
      </c>
    </row>
    <row r="190" spans="1:5" x14ac:dyDescent="0.25">
      <c r="A190" s="1">
        <v>43325</v>
      </c>
      <c r="B190">
        <v>177</v>
      </c>
      <c r="C190">
        <v>2.2479732663618068</v>
      </c>
      <c r="D190">
        <f t="shared" si="4"/>
        <v>251.70799999999997</v>
      </c>
      <c r="E190">
        <f t="shared" si="5"/>
        <v>0</v>
      </c>
    </row>
    <row r="191" spans="1:5" x14ac:dyDescent="0.25">
      <c r="A191" s="1">
        <v>43332</v>
      </c>
      <c r="B191">
        <v>144</v>
      </c>
      <c r="C191">
        <v>2.1583624920952498</v>
      </c>
      <c r="D191">
        <f t="shared" si="4"/>
        <v>251.70799999999997</v>
      </c>
      <c r="E191">
        <f t="shared" si="5"/>
        <v>0</v>
      </c>
    </row>
    <row r="192" spans="1:5" x14ac:dyDescent="0.25">
      <c r="A192" s="1">
        <v>43339</v>
      </c>
      <c r="B192">
        <v>140</v>
      </c>
      <c r="C192">
        <v>2.1461280356782382</v>
      </c>
      <c r="D192">
        <f t="shared" si="4"/>
        <v>251.70799999999997</v>
      </c>
      <c r="E192">
        <f t="shared" si="5"/>
        <v>0</v>
      </c>
    </row>
    <row r="193" spans="1:5" x14ac:dyDescent="0.25">
      <c r="A193" s="1">
        <v>43346</v>
      </c>
      <c r="B193">
        <v>171</v>
      </c>
      <c r="C193">
        <v>2.2329961103921536</v>
      </c>
      <c r="D193">
        <f t="shared" si="4"/>
        <v>251.70799999999997</v>
      </c>
      <c r="E193">
        <f t="shared" si="5"/>
        <v>0</v>
      </c>
    </row>
    <row r="194" spans="1:5" x14ac:dyDescent="0.25">
      <c r="A194" s="1">
        <v>43353</v>
      </c>
      <c r="B194">
        <v>142</v>
      </c>
      <c r="C194">
        <v>2.1522883443830563</v>
      </c>
      <c r="D194">
        <f t="shared" si="4"/>
        <v>251.70799999999997</v>
      </c>
      <c r="E194">
        <f t="shared" si="5"/>
        <v>0</v>
      </c>
    </row>
    <row r="195" spans="1:5" x14ac:dyDescent="0.25">
      <c r="A195" s="1">
        <v>43360</v>
      </c>
      <c r="B195">
        <v>161</v>
      </c>
      <c r="C195">
        <v>2.2068258760318495</v>
      </c>
      <c r="D195">
        <f t="shared" ref="D195:D258" si="6">1*$H$2</f>
        <v>251.70799999999997</v>
      </c>
      <c r="E195">
        <f t="shared" ref="E195:E258" si="7">IF(B195-D195&gt;0,B195-D195, 0)</f>
        <v>0</v>
      </c>
    </row>
    <row r="196" spans="1:5" x14ac:dyDescent="0.25">
      <c r="A196" s="1">
        <v>43367</v>
      </c>
      <c r="B196">
        <v>146</v>
      </c>
      <c r="C196">
        <v>2.1643528557844371</v>
      </c>
      <c r="D196">
        <f t="shared" si="6"/>
        <v>251.70799999999997</v>
      </c>
      <c r="E196">
        <f t="shared" si="7"/>
        <v>0</v>
      </c>
    </row>
    <row r="197" spans="1:5" x14ac:dyDescent="0.25">
      <c r="A197" s="1">
        <v>43374</v>
      </c>
      <c r="B197">
        <v>143</v>
      </c>
      <c r="C197">
        <v>2.1553360374650619</v>
      </c>
      <c r="D197">
        <f t="shared" si="6"/>
        <v>251.70799999999997</v>
      </c>
      <c r="E197">
        <f t="shared" si="7"/>
        <v>0</v>
      </c>
    </row>
    <row r="198" spans="1:5" x14ac:dyDescent="0.25">
      <c r="A198" s="1">
        <v>43381</v>
      </c>
      <c r="B198">
        <v>174</v>
      </c>
      <c r="C198">
        <v>2.2405492482825999</v>
      </c>
      <c r="D198">
        <f t="shared" si="6"/>
        <v>251.70799999999997</v>
      </c>
      <c r="E198">
        <f t="shared" si="7"/>
        <v>0</v>
      </c>
    </row>
    <row r="199" spans="1:5" x14ac:dyDescent="0.25">
      <c r="A199" s="1">
        <v>43388</v>
      </c>
      <c r="B199">
        <v>167</v>
      </c>
      <c r="C199">
        <v>2.2227164711475833</v>
      </c>
      <c r="D199">
        <f t="shared" si="6"/>
        <v>251.70799999999997</v>
      </c>
      <c r="E199">
        <f t="shared" si="7"/>
        <v>0</v>
      </c>
    </row>
    <row r="200" spans="1:5" x14ac:dyDescent="0.25">
      <c r="A200" s="1">
        <v>43395</v>
      </c>
      <c r="B200">
        <v>157</v>
      </c>
      <c r="C200">
        <v>2.1958996524092336</v>
      </c>
      <c r="D200">
        <f t="shared" si="6"/>
        <v>251.70799999999997</v>
      </c>
      <c r="E200">
        <f t="shared" si="7"/>
        <v>0</v>
      </c>
    </row>
    <row r="201" spans="1:5" x14ac:dyDescent="0.25">
      <c r="A201" s="1">
        <v>43402</v>
      </c>
      <c r="B201">
        <v>149</v>
      </c>
      <c r="C201">
        <v>2.173186268412274</v>
      </c>
      <c r="D201">
        <f t="shared" si="6"/>
        <v>251.70799999999997</v>
      </c>
      <c r="E201">
        <f t="shared" si="7"/>
        <v>0</v>
      </c>
    </row>
    <row r="202" spans="1:5" x14ac:dyDescent="0.25">
      <c r="A202" s="1">
        <v>43409</v>
      </c>
      <c r="B202">
        <v>161</v>
      </c>
      <c r="C202">
        <v>2.2068258760318495</v>
      </c>
      <c r="D202">
        <f t="shared" si="6"/>
        <v>251.70799999999997</v>
      </c>
      <c r="E202">
        <f t="shared" si="7"/>
        <v>0</v>
      </c>
    </row>
    <row r="203" spans="1:5" x14ac:dyDescent="0.25">
      <c r="A203" s="1">
        <v>43416</v>
      </c>
      <c r="B203">
        <v>176</v>
      </c>
      <c r="C203">
        <v>2.2455126678141499</v>
      </c>
      <c r="D203">
        <f t="shared" si="6"/>
        <v>251.70799999999997</v>
      </c>
      <c r="E203">
        <f t="shared" si="7"/>
        <v>0</v>
      </c>
    </row>
    <row r="204" spans="1:5" x14ac:dyDescent="0.25">
      <c r="A204" s="1">
        <v>43423</v>
      </c>
      <c r="B204">
        <v>153</v>
      </c>
      <c r="C204">
        <v>2.1846914308175989</v>
      </c>
      <c r="D204">
        <f t="shared" si="6"/>
        <v>251.70799999999997</v>
      </c>
      <c r="E204">
        <f t="shared" si="7"/>
        <v>0</v>
      </c>
    </row>
    <row r="205" spans="1:5" x14ac:dyDescent="0.25">
      <c r="A205" s="1">
        <v>43430</v>
      </c>
      <c r="B205">
        <v>186</v>
      </c>
      <c r="C205">
        <v>2.2695129442179165</v>
      </c>
      <c r="D205">
        <f t="shared" si="6"/>
        <v>251.70799999999997</v>
      </c>
      <c r="E205">
        <f t="shared" si="7"/>
        <v>0</v>
      </c>
    </row>
    <row r="206" spans="1:5" x14ac:dyDescent="0.25">
      <c r="A206" s="1">
        <v>43437</v>
      </c>
      <c r="B206">
        <v>190</v>
      </c>
      <c r="C206">
        <v>2.2787536009528289</v>
      </c>
      <c r="D206">
        <f t="shared" si="6"/>
        <v>251.70799999999997</v>
      </c>
      <c r="E206">
        <f t="shared" si="7"/>
        <v>0</v>
      </c>
    </row>
    <row r="207" spans="1:5" x14ac:dyDescent="0.25">
      <c r="A207" s="1">
        <v>43444</v>
      </c>
      <c r="B207">
        <v>196</v>
      </c>
      <c r="C207">
        <v>2.2922560713564759</v>
      </c>
      <c r="D207">
        <f t="shared" si="6"/>
        <v>251.70799999999997</v>
      </c>
      <c r="E207">
        <f t="shared" si="7"/>
        <v>0</v>
      </c>
    </row>
    <row r="208" spans="1:5" x14ac:dyDescent="0.25">
      <c r="A208" s="1">
        <v>43451</v>
      </c>
      <c r="B208">
        <v>175</v>
      </c>
      <c r="C208">
        <v>2.2430380486862944</v>
      </c>
      <c r="D208">
        <f t="shared" si="6"/>
        <v>251.70799999999997</v>
      </c>
      <c r="E208">
        <f t="shared" si="7"/>
        <v>0</v>
      </c>
    </row>
    <row r="209" spans="1:5" x14ac:dyDescent="0.25">
      <c r="A209" s="1">
        <v>43458</v>
      </c>
      <c r="B209">
        <v>161</v>
      </c>
      <c r="C209">
        <v>2.2068258760318495</v>
      </c>
      <c r="D209">
        <f t="shared" si="6"/>
        <v>251.70799999999997</v>
      </c>
      <c r="E209">
        <f t="shared" si="7"/>
        <v>0</v>
      </c>
    </row>
    <row r="210" spans="1:5" x14ac:dyDescent="0.25">
      <c r="A210" s="1">
        <v>43465</v>
      </c>
      <c r="B210">
        <v>187</v>
      </c>
      <c r="C210">
        <v>2.271841606536499</v>
      </c>
      <c r="D210">
        <f t="shared" si="6"/>
        <v>251.70799999999997</v>
      </c>
      <c r="E210">
        <f t="shared" si="7"/>
        <v>0</v>
      </c>
    </row>
    <row r="211" spans="1:5" x14ac:dyDescent="0.25">
      <c r="A211" s="1">
        <v>43472</v>
      </c>
      <c r="B211">
        <v>195</v>
      </c>
      <c r="C211">
        <v>2.2900346113625178</v>
      </c>
      <c r="D211">
        <f t="shared" si="6"/>
        <v>251.70799999999997</v>
      </c>
      <c r="E211">
        <f t="shared" si="7"/>
        <v>0</v>
      </c>
    </row>
    <row r="212" spans="1:5" x14ac:dyDescent="0.25">
      <c r="A212" s="1">
        <v>43479</v>
      </c>
      <c r="B212">
        <v>203</v>
      </c>
      <c r="C212">
        <v>2.307496037913213</v>
      </c>
      <c r="D212">
        <f t="shared" si="6"/>
        <v>251.70799999999997</v>
      </c>
      <c r="E212">
        <f t="shared" si="7"/>
        <v>0</v>
      </c>
    </row>
    <row r="213" spans="1:5" x14ac:dyDescent="0.25">
      <c r="A213" s="1">
        <v>43486</v>
      </c>
      <c r="B213">
        <v>202</v>
      </c>
      <c r="C213">
        <v>2.3053513694466239</v>
      </c>
      <c r="D213">
        <f t="shared" si="6"/>
        <v>251.70799999999997</v>
      </c>
      <c r="E213">
        <f t="shared" si="7"/>
        <v>0</v>
      </c>
    </row>
    <row r="214" spans="1:5" x14ac:dyDescent="0.25">
      <c r="A214" s="1">
        <v>43493</v>
      </c>
      <c r="B214">
        <v>192</v>
      </c>
      <c r="C214">
        <v>2.2833012287035497</v>
      </c>
      <c r="D214">
        <f t="shared" si="6"/>
        <v>251.70799999999997</v>
      </c>
      <c r="E214">
        <f t="shared" si="7"/>
        <v>0</v>
      </c>
    </row>
    <row r="215" spans="1:5" x14ac:dyDescent="0.25">
      <c r="A215" s="1">
        <v>43500</v>
      </c>
      <c r="B215">
        <v>195</v>
      </c>
      <c r="C215">
        <v>2.2900346113625178</v>
      </c>
      <c r="D215">
        <f t="shared" si="6"/>
        <v>251.70799999999997</v>
      </c>
      <c r="E215">
        <f t="shared" si="7"/>
        <v>0</v>
      </c>
    </row>
    <row r="216" spans="1:5" x14ac:dyDescent="0.25">
      <c r="A216" s="1">
        <v>43507</v>
      </c>
      <c r="B216">
        <v>190</v>
      </c>
      <c r="C216">
        <v>2.2787536009528289</v>
      </c>
      <c r="D216">
        <f t="shared" si="6"/>
        <v>251.70799999999997</v>
      </c>
      <c r="E216">
        <f t="shared" si="7"/>
        <v>0</v>
      </c>
    </row>
    <row r="217" spans="1:5" x14ac:dyDescent="0.25">
      <c r="A217" s="1">
        <v>43514</v>
      </c>
      <c r="B217">
        <v>202</v>
      </c>
      <c r="C217">
        <v>2.3053513694466239</v>
      </c>
      <c r="D217">
        <f t="shared" si="6"/>
        <v>251.70799999999997</v>
      </c>
      <c r="E217">
        <f t="shared" si="7"/>
        <v>0</v>
      </c>
    </row>
    <row r="218" spans="1:5" x14ac:dyDescent="0.25">
      <c r="A218" s="1">
        <v>43521</v>
      </c>
      <c r="B218">
        <v>202</v>
      </c>
      <c r="C218">
        <v>2.3053513694466239</v>
      </c>
      <c r="D218">
        <f t="shared" si="6"/>
        <v>251.70799999999997</v>
      </c>
      <c r="E218">
        <f t="shared" si="7"/>
        <v>0</v>
      </c>
    </row>
    <row r="219" spans="1:5" x14ac:dyDescent="0.25">
      <c r="A219" s="1">
        <v>43528</v>
      </c>
      <c r="B219">
        <v>187</v>
      </c>
      <c r="C219">
        <v>2.271841606536499</v>
      </c>
      <c r="D219">
        <f t="shared" si="6"/>
        <v>251.70799999999997</v>
      </c>
      <c r="E219">
        <f t="shared" si="7"/>
        <v>0</v>
      </c>
    </row>
    <row r="220" spans="1:5" x14ac:dyDescent="0.25">
      <c r="A220" s="1">
        <v>43535</v>
      </c>
      <c r="B220">
        <v>168</v>
      </c>
      <c r="C220">
        <v>2.2253092817258628</v>
      </c>
      <c r="D220">
        <f t="shared" si="6"/>
        <v>251.70799999999997</v>
      </c>
      <c r="E220">
        <f t="shared" si="7"/>
        <v>0</v>
      </c>
    </row>
    <row r="221" spans="1:5" x14ac:dyDescent="0.25">
      <c r="A221" s="1">
        <v>43542</v>
      </c>
      <c r="B221">
        <v>163</v>
      </c>
      <c r="C221">
        <v>2.2121876044039577</v>
      </c>
      <c r="D221">
        <f t="shared" si="6"/>
        <v>251.70799999999997</v>
      </c>
      <c r="E221">
        <f t="shared" si="7"/>
        <v>0</v>
      </c>
    </row>
    <row r="222" spans="1:5" x14ac:dyDescent="0.25">
      <c r="A222" s="1">
        <v>43549</v>
      </c>
      <c r="B222">
        <v>179</v>
      </c>
      <c r="C222">
        <v>2.2528530309798933</v>
      </c>
      <c r="D222">
        <f t="shared" si="6"/>
        <v>251.70799999999997</v>
      </c>
      <c r="E222">
        <f t="shared" si="7"/>
        <v>0</v>
      </c>
    </row>
    <row r="223" spans="1:5" x14ac:dyDescent="0.25">
      <c r="A223" s="1">
        <v>43556</v>
      </c>
      <c r="B223">
        <v>138</v>
      </c>
      <c r="C223">
        <v>2.1398790864012365</v>
      </c>
      <c r="D223">
        <f t="shared" si="6"/>
        <v>251.70799999999997</v>
      </c>
      <c r="E223">
        <f t="shared" si="7"/>
        <v>0</v>
      </c>
    </row>
    <row r="224" spans="1:5" x14ac:dyDescent="0.25">
      <c r="A224" s="1">
        <v>43563</v>
      </c>
      <c r="B224">
        <v>174</v>
      </c>
      <c r="C224">
        <v>2.2405492482825999</v>
      </c>
      <c r="D224">
        <f t="shared" si="6"/>
        <v>251.70799999999997</v>
      </c>
      <c r="E224">
        <f t="shared" si="7"/>
        <v>0</v>
      </c>
    </row>
    <row r="225" spans="1:5" x14ac:dyDescent="0.25">
      <c r="A225" s="1">
        <v>43570</v>
      </c>
      <c r="B225">
        <v>193</v>
      </c>
      <c r="C225">
        <v>2.2855573090077739</v>
      </c>
      <c r="D225">
        <f t="shared" si="6"/>
        <v>251.70799999999997</v>
      </c>
      <c r="E225">
        <f t="shared" si="7"/>
        <v>0</v>
      </c>
    </row>
    <row r="226" spans="1:5" x14ac:dyDescent="0.25">
      <c r="A226" s="1">
        <v>43577</v>
      </c>
      <c r="B226">
        <v>169</v>
      </c>
      <c r="C226">
        <v>2.2278867046136734</v>
      </c>
      <c r="D226">
        <f t="shared" si="6"/>
        <v>251.70799999999997</v>
      </c>
      <c r="E226">
        <f t="shared" si="7"/>
        <v>0</v>
      </c>
    </row>
    <row r="227" spans="1:5" x14ac:dyDescent="0.25">
      <c r="A227" s="1">
        <v>43584</v>
      </c>
      <c r="B227">
        <v>146</v>
      </c>
      <c r="C227">
        <v>2.1643528557844371</v>
      </c>
      <c r="D227">
        <f t="shared" si="6"/>
        <v>251.70799999999997</v>
      </c>
      <c r="E227">
        <f t="shared" si="7"/>
        <v>0</v>
      </c>
    </row>
    <row r="228" spans="1:5" x14ac:dyDescent="0.25">
      <c r="A228" s="1">
        <v>43591</v>
      </c>
      <c r="B228">
        <v>165</v>
      </c>
      <c r="C228">
        <v>2.2174839442139063</v>
      </c>
      <c r="D228">
        <f t="shared" si="6"/>
        <v>251.70799999999997</v>
      </c>
      <c r="E228">
        <f t="shared" si="7"/>
        <v>0</v>
      </c>
    </row>
    <row r="229" spans="1:5" x14ac:dyDescent="0.25">
      <c r="A229" s="1">
        <v>43598</v>
      </c>
      <c r="B229">
        <v>171</v>
      </c>
      <c r="C229">
        <v>2.2329961103921536</v>
      </c>
      <c r="D229">
        <f t="shared" si="6"/>
        <v>251.70799999999997</v>
      </c>
      <c r="E229">
        <f t="shared" si="7"/>
        <v>0</v>
      </c>
    </row>
    <row r="230" spans="1:5" x14ac:dyDescent="0.25">
      <c r="A230" s="1">
        <v>43605</v>
      </c>
      <c r="B230">
        <v>158</v>
      </c>
      <c r="C230">
        <v>2.1986570869544226</v>
      </c>
      <c r="D230">
        <f t="shared" si="6"/>
        <v>251.70799999999997</v>
      </c>
      <c r="E230">
        <f t="shared" si="7"/>
        <v>0</v>
      </c>
    </row>
    <row r="231" spans="1:5" x14ac:dyDescent="0.25">
      <c r="A231" s="1">
        <v>43612</v>
      </c>
      <c r="B231">
        <v>171</v>
      </c>
      <c r="C231">
        <v>2.2329961103921536</v>
      </c>
      <c r="D231">
        <f t="shared" si="6"/>
        <v>251.70799999999997</v>
      </c>
      <c r="E231">
        <f t="shared" si="7"/>
        <v>0</v>
      </c>
    </row>
    <row r="232" spans="1:5" x14ac:dyDescent="0.25">
      <c r="A232" s="1">
        <v>43619</v>
      </c>
      <c r="B232">
        <v>169</v>
      </c>
      <c r="C232">
        <v>2.2278867046136734</v>
      </c>
      <c r="D232">
        <f t="shared" si="6"/>
        <v>251.70799999999997</v>
      </c>
      <c r="E232">
        <f t="shared" si="7"/>
        <v>0</v>
      </c>
    </row>
    <row r="233" spans="1:5" x14ac:dyDescent="0.25">
      <c r="A233" s="1">
        <v>43626</v>
      </c>
      <c r="B233">
        <v>154</v>
      </c>
      <c r="C233">
        <v>2.1875207208364631</v>
      </c>
      <c r="D233">
        <f t="shared" si="6"/>
        <v>251.70799999999997</v>
      </c>
      <c r="E233">
        <f t="shared" si="7"/>
        <v>0</v>
      </c>
    </row>
    <row r="234" spans="1:5" x14ac:dyDescent="0.25">
      <c r="A234" s="1">
        <v>43633</v>
      </c>
      <c r="B234">
        <v>153</v>
      </c>
      <c r="C234">
        <v>2.1846914308175989</v>
      </c>
      <c r="D234">
        <f t="shared" si="6"/>
        <v>251.70799999999997</v>
      </c>
      <c r="E234">
        <f t="shared" si="7"/>
        <v>0</v>
      </c>
    </row>
    <row r="235" spans="1:5" x14ac:dyDescent="0.25">
      <c r="A235" s="1">
        <v>43640</v>
      </c>
      <c r="B235">
        <v>184</v>
      </c>
      <c r="C235">
        <v>2.2648178230095364</v>
      </c>
      <c r="D235">
        <f t="shared" si="6"/>
        <v>251.70799999999997</v>
      </c>
      <c r="E235">
        <f t="shared" si="7"/>
        <v>0</v>
      </c>
    </row>
    <row r="236" spans="1:5" x14ac:dyDescent="0.25">
      <c r="A236" s="1">
        <v>43647</v>
      </c>
      <c r="B236">
        <v>163</v>
      </c>
      <c r="C236">
        <v>2.2121876044039577</v>
      </c>
      <c r="D236">
        <f t="shared" si="6"/>
        <v>251.70799999999997</v>
      </c>
      <c r="E236">
        <f t="shared" si="7"/>
        <v>0</v>
      </c>
    </row>
    <row r="237" spans="1:5" x14ac:dyDescent="0.25">
      <c r="A237" s="1">
        <v>43654</v>
      </c>
      <c r="B237">
        <v>147</v>
      </c>
      <c r="C237">
        <v>2.167317334748176</v>
      </c>
      <c r="D237">
        <f t="shared" si="6"/>
        <v>251.70799999999997</v>
      </c>
      <c r="E237">
        <f t="shared" si="7"/>
        <v>0</v>
      </c>
    </row>
    <row r="238" spans="1:5" x14ac:dyDescent="0.25">
      <c r="A238" s="1">
        <v>43661</v>
      </c>
      <c r="B238">
        <v>152</v>
      </c>
      <c r="C238">
        <v>2.1818435879447726</v>
      </c>
      <c r="D238">
        <f t="shared" si="6"/>
        <v>251.70799999999997</v>
      </c>
      <c r="E238">
        <f t="shared" si="7"/>
        <v>0</v>
      </c>
    </row>
    <row r="239" spans="1:5" x14ac:dyDescent="0.25">
      <c r="A239" s="1">
        <v>43668</v>
      </c>
      <c r="B239">
        <v>221</v>
      </c>
      <c r="C239">
        <v>2.3443922736851106</v>
      </c>
      <c r="D239">
        <f t="shared" si="6"/>
        <v>251.70799999999997</v>
      </c>
      <c r="E239">
        <f t="shared" si="7"/>
        <v>0</v>
      </c>
    </row>
    <row r="240" spans="1:5" x14ac:dyDescent="0.25">
      <c r="A240" s="1">
        <v>43675</v>
      </c>
      <c r="B240">
        <v>163</v>
      </c>
      <c r="C240">
        <v>2.2121876044039577</v>
      </c>
      <c r="D240">
        <f t="shared" si="6"/>
        <v>251.70799999999997</v>
      </c>
      <c r="E240">
        <f t="shared" si="7"/>
        <v>0</v>
      </c>
    </row>
    <row r="241" spans="1:5" x14ac:dyDescent="0.25">
      <c r="A241" s="1">
        <v>43682</v>
      </c>
      <c r="B241">
        <v>174</v>
      </c>
      <c r="C241">
        <v>2.2405492482825999</v>
      </c>
      <c r="D241">
        <f t="shared" si="6"/>
        <v>251.70799999999997</v>
      </c>
      <c r="E241">
        <f t="shared" si="7"/>
        <v>0</v>
      </c>
    </row>
    <row r="242" spans="1:5" x14ac:dyDescent="0.25">
      <c r="A242" s="1">
        <v>43689</v>
      </c>
      <c r="B242">
        <v>139</v>
      </c>
      <c r="C242">
        <v>2.143014800254095</v>
      </c>
      <c r="D242">
        <f t="shared" si="6"/>
        <v>251.70799999999997</v>
      </c>
      <c r="E242">
        <f t="shared" si="7"/>
        <v>0</v>
      </c>
    </row>
    <row r="243" spans="1:5" x14ac:dyDescent="0.25">
      <c r="A243" s="1">
        <v>43696</v>
      </c>
      <c r="B243">
        <v>159</v>
      </c>
      <c r="C243">
        <v>2.2013971243204513</v>
      </c>
      <c r="D243">
        <f t="shared" si="6"/>
        <v>251.70799999999997</v>
      </c>
      <c r="E243">
        <f t="shared" si="7"/>
        <v>0</v>
      </c>
    </row>
    <row r="244" spans="1:5" x14ac:dyDescent="0.25">
      <c r="A244" s="1">
        <v>43703</v>
      </c>
      <c r="B244">
        <v>165</v>
      </c>
      <c r="C244">
        <v>2.2174839442139063</v>
      </c>
      <c r="D244">
        <f t="shared" si="6"/>
        <v>251.70799999999997</v>
      </c>
      <c r="E244">
        <f t="shared" si="7"/>
        <v>0</v>
      </c>
    </row>
    <row r="245" spans="1:5" x14ac:dyDescent="0.25">
      <c r="A245" s="1">
        <v>43710</v>
      </c>
      <c r="B245">
        <v>170</v>
      </c>
      <c r="C245">
        <v>2.2304489213782741</v>
      </c>
      <c r="D245">
        <f t="shared" si="6"/>
        <v>251.70799999999997</v>
      </c>
      <c r="E245">
        <f t="shared" si="7"/>
        <v>0</v>
      </c>
    </row>
    <row r="246" spans="1:5" x14ac:dyDescent="0.25">
      <c r="A246" s="1">
        <v>43717</v>
      </c>
      <c r="B246">
        <v>166</v>
      </c>
      <c r="C246">
        <v>2.220108088040055</v>
      </c>
      <c r="D246">
        <f t="shared" si="6"/>
        <v>251.70799999999997</v>
      </c>
      <c r="E246">
        <f t="shared" si="7"/>
        <v>0</v>
      </c>
    </row>
    <row r="247" spans="1:5" x14ac:dyDescent="0.25">
      <c r="A247" s="1">
        <v>43724</v>
      </c>
      <c r="B247">
        <v>156</v>
      </c>
      <c r="C247">
        <v>2.1931245983544616</v>
      </c>
      <c r="D247">
        <f t="shared" si="6"/>
        <v>251.70799999999997</v>
      </c>
      <c r="E247">
        <f t="shared" si="7"/>
        <v>0</v>
      </c>
    </row>
    <row r="248" spans="1:5" x14ac:dyDescent="0.25">
      <c r="A248" s="1">
        <v>43731</v>
      </c>
      <c r="B248">
        <v>148</v>
      </c>
      <c r="C248">
        <v>2.1702617153949575</v>
      </c>
      <c r="D248">
        <f t="shared" si="6"/>
        <v>251.70799999999997</v>
      </c>
      <c r="E248">
        <f t="shared" si="7"/>
        <v>0</v>
      </c>
    </row>
    <row r="249" spans="1:5" x14ac:dyDescent="0.25">
      <c r="A249" s="1">
        <v>43738</v>
      </c>
      <c r="B249">
        <v>186</v>
      </c>
      <c r="C249">
        <v>2.2695129442179165</v>
      </c>
      <c r="D249">
        <f t="shared" si="6"/>
        <v>251.70799999999997</v>
      </c>
      <c r="E249">
        <f t="shared" si="7"/>
        <v>0</v>
      </c>
    </row>
    <row r="250" spans="1:5" x14ac:dyDescent="0.25">
      <c r="A250" s="1">
        <v>43745</v>
      </c>
      <c r="B250">
        <v>141</v>
      </c>
      <c r="C250">
        <v>2.1492191126553797</v>
      </c>
      <c r="D250">
        <f t="shared" si="6"/>
        <v>251.70799999999997</v>
      </c>
      <c r="E250">
        <f t="shared" si="7"/>
        <v>0</v>
      </c>
    </row>
    <row r="251" spans="1:5" x14ac:dyDescent="0.25">
      <c r="A251" s="1">
        <v>43752</v>
      </c>
      <c r="B251">
        <v>152</v>
      </c>
      <c r="C251">
        <v>2.1818435879447726</v>
      </c>
      <c r="D251">
        <f t="shared" si="6"/>
        <v>251.70799999999997</v>
      </c>
      <c r="E251">
        <f t="shared" si="7"/>
        <v>0</v>
      </c>
    </row>
    <row r="252" spans="1:5" x14ac:dyDescent="0.25">
      <c r="A252" s="1">
        <v>43759</v>
      </c>
      <c r="B252">
        <v>182</v>
      </c>
      <c r="C252">
        <v>2.2600713879850747</v>
      </c>
      <c r="D252">
        <f t="shared" si="6"/>
        <v>251.70799999999997</v>
      </c>
      <c r="E252">
        <f t="shared" si="7"/>
        <v>0</v>
      </c>
    </row>
    <row r="253" spans="1:5" x14ac:dyDescent="0.25">
      <c r="A253" s="1">
        <v>43766</v>
      </c>
      <c r="B253">
        <v>167</v>
      </c>
      <c r="C253">
        <v>2.2227164711475833</v>
      </c>
      <c r="D253">
        <f t="shared" si="6"/>
        <v>251.70799999999997</v>
      </c>
      <c r="E253">
        <f t="shared" si="7"/>
        <v>0</v>
      </c>
    </row>
    <row r="254" spans="1:5" x14ac:dyDescent="0.25">
      <c r="A254" s="1">
        <v>43773</v>
      </c>
      <c r="B254">
        <v>164</v>
      </c>
      <c r="C254">
        <v>2.214843848047698</v>
      </c>
      <c r="D254">
        <f t="shared" si="6"/>
        <v>251.70799999999997</v>
      </c>
      <c r="E254">
        <f t="shared" si="7"/>
        <v>0</v>
      </c>
    </row>
    <row r="255" spans="1:5" x14ac:dyDescent="0.25">
      <c r="A255" s="1">
        <v>43780</v>
      </c>
      <c r="B255">
        <v>150</v>
      </c>
      <c r="C255">
        <v>2.1760912590556813</v>
      </c>
      <c r="D255">
        <f t="shared" si="6"/>
        <v>251.70799999999997</v>
      </c>
      <c r="E255">
        <f t="shared" si="7"/>
        <v>0</v>
      </c>
    </row>
    <row r="256" spans="1:5" x14ac:dyDescent="0.25">
      <c r="A256" s="1">
        <v>43787</v>
      </c>
      <c r="B256">
        <v>179</v>
      </c>
      <c r="C256">
        <v>2.2528530309798933</v>
      </c>
      <c r="D256">
        <f t="shared" si="6"/>
        <v>251.70799999999997</v>
      </c>
      <c r="E256">
        <f t="shared" si="7"/>
        <v>0</v>
      </c>
    </row>
    <row r="257" spans="1:5" x14ac:dyDescent="0.25">
      <c r="A257" s="1">
        <v>43794</v>
      </c>
      <c r="B257">
        <v>152</v>
      </c>
      <c r="C257">
        <v>2.1818435879447726</v>
      </c>
      <c r="D257">
        <f t="shared" si="6"/>
        <v>251.70799999999997</v>
      </c>
      <c r="E257">
        <f t="shared" si="7"/>
        <v>0</v>
      </c>
    </row>
    <row r="258" spans="1:5" x14ac:dyDescent="0.25">
      <c r="A258" s="1">
        <v>43801</v>
      </c>
      <c r="B258">
        <v>150</v>
      </c>
      <c r="C258">
        <v>2.1760912590556813</v>
      </c>
      <c r="D258">
        <f t="shared" si="6"/>
        <v>251.70799999999997</v>
      </c>
      <c r="E258">
        <f t="shared" si="7"/>
        <v>0</v>
      </c>
    </row>
    <row r="259" spans="1:5" x14ac:dyDescent="0.25">
      <c r="A259" s="1">
        <v>43808</v>
      </c>
      <c r="B259">
        <v>176</v>
      </c>
      <c r="C259">
        <v>2.2455126678141499</v>
      </c>
      <c r="D259">
        <f t="shared" ref="D259:D322" si="8">1*$H$2</f>
        <v>251.70799999999997</v>
      </c>
      <c r="E259">
        <f t="shared" ref="E259:E322" si="9">IF(B259-D259&gt;0,B259-D259, 0)</f>
        <v>0</v>
      </c>
    </row>
    <row r="260" spans="1:5" x14ac:dyDescent="0.25">
      <c r="A260" s="1">
        <v>43815</v>
      </c>
      <c r="B260">
        <v>189</v>
      </c>
      <c r="C260">
        <v>2.2764618041732443</v>
      </c>
      <c r="D260">
        <f t="shared" si="8"/>
        <v>251.70799999999997</v>
      </c>
      <c r="E260">
        <f t="shared" si="9"/>
        <v>0</v>
      </c>
    </row>
    <row r="261" spans="1:5" x14ac:dyDescent="0.25">
      <c r="A261" s="1">
        <v>43822</v>
      </c>
      <c r="B261">
        <v>166</v>
      </c>
      <c r="C261">
        <v>2.220108088040055</v>
      </c>
      <c r="D261">
        <f t="shared" si="8"/>
        <v>251.70799999999997</v>
      </c>
      <c r="E261">
        <f t="shared" si="9"/>
        <v>0</v>
      </c>
    </row>
    <row r="262" spans="1:5" x14ac:dyDescent="0.25">
      <c r="A262" s="1">
        <v>43829</v>
      </c>
      <c r="B262">
        <v>180</v>
      </c>
      <c r="C262">
        <v>2.255272505103306</v>
      </c>
      <c r="D262">
        <f t="shared" si="8"/>
        <v>251.70799999999997</v>
      </c>
      <c r="E262">
        <f t="shared" si="9"/>
        <v>0</v>
      </c>
    </row>
    <row r="263" spans="1:5" x14ac:dyDescent="0.25">
      <c r="A263" s="1">
        <v>43836</v>
      </c>
      <c r="B263">
        <v>185</v>
      </c>
      <c r="C263">
        <v>2.2671717284030137</v>
      </c>
      <c r="D263">
        <f t="shared" si="8"/>
        <v>251.70799999999997</v>
      </c>
      <c r="E263">
        <f t="shared" si="9"/>
        <v>0</v>
      </c>
    </row>
    <row r="264" spans="1:5" x14ac:dyDescent="0.25">
      <c r="A264" s="1">
        <v>43843</v>
      </c>
      <c r="B264">
        <v>168</v>
      </c>
      <c r="C264">
        <v>2.2253092817258628</v>
      </c>
      <c r="D264">
        <f t="shared" si="8"/>
        <v>251.70799999999997</v>
      </c>
      <c r="E264">
        <f t="shared" si="9"/>
        <v>0</v>
      </c>
    </row>
    <row r="265" spans="1:5" x14ac:dyDescent="0.25">
      <c r="A265" s="1">
        <v>43850</v>
      </c>
      <c r="B265">
        <v>177</v>
      </c>
      <c r="C265">
        <v>2.2479732663618068</v>
      </c>
      <c r="D265">
        <f t="shared" si="8"/>
        <v>251.70799999999997</v>
      </c>
      <c r="E265">
        <f t="shared" si="9"/>
        <v>0</v>
      </c>
    </row>
    <row r="266" spans="1:5" x14ac:dyDescent="0.25">
      <c r="A266" s="1">
        <v>43857</v>
      </c>
      <c r="B266">
        <v>194</v>
      </c>
      <c r="C266">
        <v>2.287801729930226</v>
      </c>
      <c r="D266">
        <f t="shared" si="8"/>
        <v>251.70799999999997</v>
      </c>
      <c r="E266">
        <f t="shared" si="9"/>
        <v>0</v>
      </c>
    </row>
    <row r="267" spans="1:5" x14ac:dyDescent="0.25">
      <c r="A267" s="1">
        <v>43864</v>
      </c>
      <c r="B267">
        <v>188</v>
      </c>
      <c r="C267">
        <v>2.27415784926368</v>
      </c>
      <c r="D267">
        <f t="shared" si="8"/>
        <v>251.70799999999997</v>
      </c>
      <c r="E267">
        <f t="shared" si="9"/>
        <v>0</v>
      </c>
    </row>
    <row r="268" spans="1:5" x14ac:dyDescent="0.25">
      <c r="A268" s="1">
        <v>43871</v>
      </c>
      <c r="B268">
        <v>193</v>
      </c>
      <c r="C268">
        <v>2.2855573090077739</v>
      </c>
      <c r="D268">
        <f t="shared" si="8"/>
        <v>251.70799999999997</v>
      </c>
      <c r="E268">
        <f t="shared" si="9"/>
        <v>0</v>
      </c>
    </row>
    <row r="269" spans="1:5" x14ac:dyDescent="0.25">
      <c r="A269" s="1">
        <v>43878</v>
      </c>
      <c r="B269">
        <v>191</v>
      </c>
      <c r="C269">
        <v>2.2810333672477277</v>
      </c>
      <c r="D269">
        <f t="shared" si="8"/>
        <v>251.70799999999997</v>
      </c>
      <c r="E269">
        <f t="shared" si="9"/>
        <v>0</v>
      </c>
    </row>
    <row r="270" spans="1:5" x14ac:dyDescent="0.25">
      <c r="A270" s="1">
        <v>43885</v>
      </c>
      <c r="B270">
        <v>190</v>
      </c>
      <c r="C270">
        <v>2.2787536009528289</v>
      </c>
      <c r="D270">
        <f t="shared" si="8"/>
        <v>251.70799999999997</v>
      </c>
      <c r="E270">
        <f t="shared" si="9"/>
        <v>0</v>
      </c>
    </row>
    <row r="271" spans="1:5" x14ac:dyDescent="0.25">
      <c r="A271" s="1">
        <v>43892</v>
      </c>
      <c r="B271">
        <v>190</v>
      </c>
      <c r="C271">
        <v>2.2787536009528289</v>
      </c>
      <c r="D271">
        <f t="shared" si="8"/>
        <v>251.70799999999997</v>
      </c>
      <c r="E271">
        <f t="shared" si="9"/>
        <v>0</v>
      </c>
    </row>
    <row r="272" spans="1:5" x14ac:dyDescent="0.25">
      <c r="A272" s="1">
        <v>43899</v>
      </c>
      <c r="B272">
        <v>193</v>
      </c>
      <c r="C272">
        <v>2.2855573090077739</v>
      </c>
      <c r="D272">
        <f t="shared" si="8"/>
        <v>251.70799999999997</v>
      </c>
      <c r="E272">
        <f t="shared" si="9"/>
        <v>0</v>
      </c>
    </row>
    <row r="273" spans="1:5" x14ac:dyDescent="0.25">
      <c r="A273" s="1">
        <v>43906</v>
      </c>
      <c r="B273">
        <v>254</v>
      </c>
      <c r="C273">
        <v>2.4048337166199381</v>
      </c>
      <c r="D273">
        <f t="shared" si="8"/>
        <v>251.70799999999997</v>
      </c>
      <c r="E273">
        <f t="shared" si="9"/>
        <v>2.29200000000003</v>
      </c>
    </row>
    <row r="274" spans="1:5" x14ac:dyDescent="0.25">
      <c r="A274" s="1">
        <v>43913</v>
      </c>
      <c r="B274">
        <v>331</v>
      </c>
      <c r="C274">
        <v>2.5198279937757189</v>
      </c>
      <c r="D274">
        <f t="shared" si="8"/>
        <v>251.70799999999997</v>
      </c>
      <c r="E274">
        <f t="shared" si="9"/>
        <v>79.29200000000003</v>
      </c>
    </row>
    <row r="275" spans="1:5" x14ac:dyDescent="0.25">
      <c r="A275" s="1">
        <v>43920</v>
      </c>
      <c r="B275">
        <v>482</v>
      </c>
      <c r="C275">
        <v>2.6830470382388496</v>
      </c>
      <c r="D275">
        <f t="shared" si="8"/>
        <v>251.70799999999997</v>
      </c>
      <c r="E275">
        <f t="shared" si="9"/>
        <v>230.29200000000003</v>
      </c>
    </row>
    <row r="276" spans="1:5" x14ac:dyDescent="0.25">
      <c r="A276" s="1">
        <v>43927</v>
      </c>
      <c r="B276">
        <v>515</v>
      </c>
      <c r="C276">
        <v>2.7118072290411912</v>
      </c>
      <c r="D276">
        <f t="shared" si="8"/>
        <v>251.70799999999997</v>
      </c>
      <c r="E276">
        <f t="shared" si="9"/>
        <v>263.29200000000003</v>
      </c>
    </row>
    <row r="277" spans="1:5" x14ac:dyDescent="0.25">
      <c r="A277" s="1">
        <v>43934</v>
      </c>
      <c r="B277">
        <v>373</v>
      </c>
      <c r="C277">
        <v>2.5717088318086878</v>
      </c>
      <c r="D277">
        <f t="shared" si="8"/>
        <v>251.70799999999997</v>
      </c>
      <c r="E277">
        <f t="shared" si="9"/>
        <v>121.29200000000003</v>
      </c>
    </row>
    <row r="278" spans="1:5" x14ac:dyDescent="0.25">
      <c r="A278" s="1">
        <v>43941</v>
      </c>
      <c r="B278">
        <v>309</v>
      </c>
      <c r="C278">
        <v>2.4899584794248346</v>
      </c>
      <c r="D278">
        <f t="shared" si="8"/>
        <v>251.70799999999997</v>
      </c>
      <c r="E278">
        <f t="shared" si="9"/>
        <v>57.29200000000003</v>
      </c>
    </row>
    <row r="279" spans="1:5" x14ac:dyDescent="0.25">
      <c r="A279" s="1">
        <v>43948</v>
      </c>
      <c r="B279">
        <v>235</v>
      </c>
      <c r="C279">
        <v>2.3710678622717363</v>
      </c>
      <c r="D279">
        <f t="shared" si="8"/>
        <v>251.70799999999997</v>
      </c>
      <c r="E279">
        <f t="shared" si="9"/>
        <v>0</v>
      </c>
    </row>
    <row r="280" spans="1:5" x14ac:dyDescent="0.25">
      <c r="A280" s="1">
        <v>43955</v>
      </c>
      <c r="B280">
        <v>192</v>
      </c>
      <c r="C280">
        <v>2.2833012287035497</v>
      </c>
      <c r="D280">
        <f t="shared" si="8"/>
        <v>251.70799999999997</v>
      </c>
      <c r="E280">
        <f t="shared" si="9"/>
        <v>0</v>
      </c>
    </row>
    <row r="281" spans="1:5" x14ac:dyDescent="0.25">
      <c r="A281" s="1">
        <v>43962</v>
      </c>
      <c r="B281">
        <v>175</v>
      </c>
      <c r="C281">
        <v>2.2430380486862944</v>
      </c>
      <c r="D281">
        <f t="shared" si="8"/>
        <v>251.70799999999997</v>
      </c>
      <c r="E281">
        <f t="shared" si="9"/>
        <v>0</v>
      </c>
    </row>
    <row r="282" spans="1:5" x14ac:dyDescent="0.25">
      <c r="A282" s="1">
        <v>43969</v>
      </c>
      <c r="B282">
        <v>169</v>
      </c>
      <c r="C282">
        <v>2.2278867046136734</v>
      </c>
      <c r="D282">
        <f t="shared" si="8"/>
        <v>251.70799999999997</v>
      </c>
      <c r="E282">
        <f t="shared" si="9"/>
        <v>0</v>
      </c>
    </row>
    <row r="283" spans="1:5" x14ac:dyDescent="0.25">
      <c r="A283" s="1">
        <v>43976</v>
      </c>
      <c r="B283">
        <v>148</v>
      </c>
      <c r="C283">
        <v>2.1702617153949575</v>
      </c>
      <c r="D283">
        <f t="shared" si="8"/>
        <v>251.70799999999997</v>
      </c>
      <c r="E283">
        <f t="shared" si="9"/>
        <v>0</v>
      </c>
    </row>
    <row r="284" spans="1:5" x14ac:dyDescent="0.25">
      <c r="A284" s="1">
        <v>43983</v>
      </c>
      <c r="B284">
        <v>147</v>
      </c>
      <c r="C284">
        <v>2.167317334748176</v>
      </c>
      <c r="D284">
        <f t="shared" si="8"/>
        <v>251.70799999999997</v>
      </c>
      <c r="E284">
        <f t="shared" si="9"/>
        <v>0</v>
      </c>
    </row>
    <row r="285" spans="1:5" x14ac:dyDescent="0.25">
      <c r="A285" s="1">
        <v>43990</v>
      </c>
      <c r="B285">
        <v>143</v>
      </c>
      <c r="C285">
        <v>2.1553360374650619</v>
      </c>
      <c r="D285">
        <f t="shared" si="8"/>
        <v>251.70799999999997</v>
      </c>
      <c r="E285">
        <f t="shared" si="9"/>
        <v>0</v>
      </c>
    </row>
    <row r="286" spans="1:5" x14ac:dyDescent="0.25">
      <c r="A286" s="1">
        <v>43997</v>
      </c>
      <c r="B286">
        <v>149</v>
      </c>
      <c r="C286">
        <v>2.173186268412274</v>
      </c>
      <c r="D286">
        <f t="shared" si="8"/>
        <v>251.70799999999997</v>
      </c>
      <c r="E286">
        <f t="shared" si="9"/>
        <v>0</v>
      </c>
    </row>
    <row r="287" spans="1:5" x14ac:dyDescent="0.25">
      <c r="A287" s="1">
        <v>44004</v>
      </c>
      <c r="B287">
        <v>161</v>
      </c>
      <c r="C287">
        <v>2.2068258760318495</v>
      </c>
      <c r="D287">
        <f t="shared" si="8"/>
        <v>251.70799999999997</v>
      </c>
      <c r="E287">
        <f t="shared" si="9"/>
        <v>0</v>
      </c>
    </row>
    <row r="288" spans="1:5" x14ac:dyDescent="0.25">
      <c r="A288" s="1">
        <v>44011</v>
      </c>
      <c r="B288">
        <v>141</v>
      </c>
      <c r="C288">
        <v>2.1492191126553797</v>
      </c>
      <c r="D288">
        <f t="shared" si="8"/>
        <v>251.70799999999997</v>
      </c>
      <c r="E288">
        <f t="shared" si="9"/>
        <v>0</v>
      </c>
    </row>
    <row r="289" spans="1:5" x14ac:dyDescent="0.25">
      <c r="A289" s="1">
        <v>44018</v>
      </c>
      <c r="B289">
        <v>126</v>
      </c>
      <c r="C289">
        <v>2.1003705451175629</v>
      </c>
      <c r="D289">
        <f t="shared" si="8"/>
        <v>251.70799999999997</v>
      </c>
      <c r="E289">
        <f t="shared" si="9"/>
        <v>0</v>
      </c>
    </row>
    <row r="290" spans="1:5" x14ac:dyDescent="0.25">
      <c r="A290" s="1">
        <v>44025</v>
      </c>
      <c r="B290">
        <v>140</v>
      </c>
      <c r="C290">
        <v>2.1461280356782382</v>
      </c>
      <c r="D290">
        <f t="shared" si="8"/>
        <v>251.70799999999997</v>
      </c>
      <c r="E290">
        <f t="shared" si="9"/>
        <v>0</v>
      </c>
    </row>
    <row r="291" spans="1:5" x14ac:dyDescent="0.25">
      <c r="A291" s="1">
        <v>44032</v>
      </c>
      <c r="B291">
        <v>159</v>
      </c>
      <c r="C291">
        <v>2.2013971243204513</v>
      </c>
      <c r="D291">
        <f t="shared" si="8"/>
        <v>251.70799999999997</v>
      </c>
      <c r="E291">
        <f t="shared" si="9"/>
        <v>0</v>
      </c>
    </row>
    <row r="292" spans="1:5" x14ac:dyDescent="0.25">
      <c r="A292" s="1">
        <v>44039</v>
      </c>
      <c r="B292">
        <v>135</v>
      </c>
      <c r="C292">
        <v>2.1303337684950061</v>
      </c>
      <c r="D292">
        <f t="shared" si="8"/>
        <v>251.70799999999997</v>
      </c>
      <c r="E292">
        <f t="shared" si="9"/>
        <v>0</v>
      </c>
    </row>
    <row r="293" spans="1:5" x14ac:dyDescent="0.25">
      <c r="A293" s="1">
        <v>44046</v>
      </c>
      <c r="B293">
        <v>158</v>
      </c>
      <c r="C293">
        <v>2.1986570869544226</v>
      </c>
      <c r="D293">
        <f t="shared" si="8"/>
        <v>251.70799999999997</v>
      </c>
      <c r="E293">
        <f t="shared" si="9"/>
        <v>0</v>
      </c>
    </row>
    <row r="294" spans="1:5" x14ac:dyDescent="0.25">
      <c r="A294" s="1">
        <v>44053</v>
      </c>
      <c r="B294">
        <v>251</v>
      </c>
      <c r="C294">
        <v>2.399673721481038</v>
      </c>
      <c r="D294">
        <f t="shared" si="8"/>
        <v>251.70799999999997</v>
      </c>
      <c r="E294">
        <f t="shared" si="9"/>
        <v>0</v>
      </c>
    </row>
    <row r="295" spans="1:5" x14ac:dyDescent="0.25">
      <c r="A295" s="1">
        <v>44060</v>
      </c>
      <c r="B295">
        <v>205</v>
      </c>
      <c r="C295">
        <v>2.3117538610557542</v>
      </c>
      <c r="D295">
        <f t="shared" si="8"/>
        <v>251.70799999999997</v>
      </c>
      <c r="E295">
        <f t="shared" si="9"/>
        <v>0</v>
      </c>
    </row>
    <row r="296" spans="1:5" x14ac:dyDescent="0.25">
      <c r="A296" s="1">
        <v>44067</v>
      </c>
      <c r="B296">
        <v>126</v>
      </c>
      <c r="C296">
        <v>2.1003705451175629</v>
      </c>
      <c r="D296">
        <f t="shared" si="8"/>
        <v>251.70799999999997</v>
      </c>
      <c r="E296">
        <f t="shared" si="9"/>
        <v>0</v>
      </c>
    </row>
    <row r="297" spans="1:5" x14ac:dyDescent="0.25">
      <c r="A297" s="1">
        <v>44074</v>
      </c>
      <c r="B297">
        <v>155</v>
      </c>
      <c r="C297">
        <v>2.1903316981702914</v>
      </c>
      <c r="D297">
        <f t="shared" si="8"/>
        <v>251.70799999999997</v>
      </c>
      <c r="E297">
        <f t="shared" si="9"/>
        <v>0</v>
      </c>
    </row>
    <row r="298" spans="1:5" x14ac:dyDescent="0.25">
      <c r="A298" s="1">
        <v>44081</v>
      </c>
      <c r="B298">
        <v>142</v>
      </c>
      <c r="C298">
        <v>2.1522883443830563</v>
      </c>
      <c r="D298">
        <f t="shared" si="8"/>
        <v>251.70799999999997</v>
      </c>
      <c r="E298">
        <f t="shared" si="9"/>
        <v>0</v>
      </c>
    </row>
    <row r="299" spans="1:5" x14ac:dyDescent="0.25">
      <c r="A299" s="1">
        <v>44088</v>
      </c>
      <c r="B299">
        <v>150</v>
      </c>
      <c r="C299">
        <v>2.1760912590556813</v>
      </c>
      <c r="D299">
        <f t="shared" si="8"/>
        <v>251.70799999999997</v>
      </c>
      <c r="E299">
        <f t="shared" si="9"/>
        <v>0</v>
      </c>
    </row>
    <row r="300" spans="1:5" x14ac:dyDescent="0.25">
      <c r="A300" s="1">
        <v>44095</v>
      </c>
      <c r="B300">
        <v>155</v>
      </c>
      <c r="C300">
        <v>2.1903316981702914</v>
      </c>
      <c r="D300">
        <f t="shared" si="8"/>
        <v>251.70799999999997</v>
      </c>
      <c r="E300">
        <f t="shared" si="9"/>
        <v>0</v>
      </c>
    </row>
    <row r="301" spans="1:5" x14ac:dyDescent="0.25">
      <c r="A301" s="1">
        <v>44102</v>
      </c>
      <c r="B301">
        <v>160</v>
      </c>
      <c r="C301">
        <v>2.2041199826559246</v>
      </c>
      <c r="D301">
        <f t="shared" si="8"/>
        <v>251.70799999999997</v>
      </c>
      <c r="E301">
        <f t="shared" si="9"/>
        <v>0</v>
      </c>
    </row>
    <row r="302" spans="1:5" x14ac:dyDescent="0.25">
      <c r="A302" s="1">
        <v>44109</v>
      </c>
      <c r="B302">
        <v>184</v>
      </c>
      <c r="C302">
        <v>2.2648178230095364</v>
      </c>
      <c r="D302">
        <f t="shared" si="8"/>
        <v>251.70799999999997</v>
      </c>
      <c r="E302">
        <f t="shared" si="9"/>
        <v>0</v>
      </c>
    </row>
    <row r="303" spans="1:5" x14ac:dyDescent="0.25">
      <c r="A303" s="1">
        <v>44116</v>
      </c>
      <c r="B303">
        <v>178</v>
      </c>
      <c r="C303">
        <v>2.2504200023088941</v>
      </c>
      <c r="D303">
        <f t="shared" si="8"/>
        <v>251.70799999999997</v>
      </c>
      <c r="E303">
        <f t="shared" si="9"/>
        <v>0</v>
      </c>
    </row>
    <row r="304" spans="1:5" x14ac:dyDescent="0.25">
      <c r="A304" s="1">
        <v>44123</v>
      </c>
      <c r="B304">
        <v>250</v>
      </c>
      <c r="C304">
        <v>2.3979400086720375</v>
      </c>
      <c r="D304">
        <f t="shared" si="8"/>
        <v>251.70799999999997</v>
      </c>
      <c r="E304">
        <f t="shared" si="9"/>
        <v>0</v>
      </c>
    </row>
    <row r="305" spans="1:5" x14ac:dyDescent="0.25">
      <c r="A305" s="1">
        <v>44130</v>
      </c>
      <c r="B305">
        <v>316</v>
      </c>
      <c r="C305">
        <v>2.4996870826184039</v>
      </c>
      <c r="D305">
        <f t="shared" si="8"/>
        <v>251.70799999999997</v>
      </c>
      <c r="E305">
        <f t="shared" si="9"/>
        <v>64.29200000000003</v>
      </c>
    </row>
    <row r="306" spans="1:5" x14ac:dyDescent="0.25">
      <c r="A306" s="1">
        <v>44137</v>
      </c>
      <c r="B306">
        <v>326</v>
      </c>
      <c r="C306">
        <v>2.5132176000679389</v>
      </c>
      <c r="D306">
        <f t="shared" si="8"/>
        <v>251.70799999999997</v>
      </c>
      <c r="E306">
        <f t="shared" si="9"/>
        <v>74.29200000000003</v>
      </c>
    </row>
    <row r="307" spans="1:5" x14ac:dyDescent="0.25">
      <c r="A307" s="1">
        <v>44144</v>
      </c>
      <c r="B307">
        <v>294</v>
      </c>
      <c r="C307">
        <v>2.4683473304121573</v>
      </c>
      <c r="D307">
        <f t="shared" si="8"/>
        <v>251.70799999999997</v>
      </c>
      <c r="E307">
        <f t="shared" si="9"/>
        <v>42.29200000000003</v>
      </c>
    </row>
    <row r="308" spans="1:5" x14ac:dyDescent="0.25">
      <c r="A308" s="1">
        <v>44151</v>
      </c>
      <c r="B308">
        <v>276</v>
      </c>
      <c r="C308">
        <v>2.4409090820652177</v>
      </c>
      <c r="D308">
        <f t="shared" si="8"/>
        <v>251.70799999999997</v>
      </c>
      <c r="E308">
        <f t="shared" si="9"/>
        <v>24.29200000000003</v>
      </c>
    </row>
    <row r="309" spans="1:5" x14ac:dyDescent="0.25">
      <c r="A309" s="1">
        <v>44158</v>
      </c>
      <c r="B309">
        <v>262</v>
      </c>
      <c r="C309">
        <v>2.4183012913197452</v>
      </c>
      <c r="D309">
        <f t="shared" si="8"/>
        <v>251.70799999999997</v>
      </c>
      <c r="E309">
        <f t="shared" si="9"/>
        <v>10.29200000000003</v>
      </c>
    </row>
    <row r="310" spans="1:5" x14ac:dyDescent="0.25">
      <c r="A310" s="1">
        <v>44165</v>
      </c>
      <c r="B310">
        <v>188</v>
      </c>
      <c r="C310">
        <v>2.27415784926368</v>
      </c>
      <c r="D310">
        <f t="shared" si="8"/>
        <v>251.70799999999997</v>
      </c>
      <c r="E310">
        <f t="shared" si="9"/>
        <v>0</v>
      </c>
    </row>
    <row r="311" spans="1:5" x14ac:dyDescent="0.25">
      <c r="A311" s="1">
        <v>44172</v>
      </c>
      <c r="B311">
        <v>225</v>
      </c>
      <c r="C311">
        <v>2.3521825181113627</v>
      </c>
      <c r="D311">
        <f t="shared" si="8"/>
        <v>251.70799999999997</v>
      </c>
      <c r="E311">
        <f t="shared" si="9"/>
        <v>0</v>
      </c>
    </row>
    <row r="312" spans="1:5" x14ac:dyDescent="0.25">
      <c r="A312" s="1">
        <v>44179</v>
      </c>
      <c r="B312">
        <v>202</v>
      </c>
      <c r="C312">
        <v>2.3053513694466239</v>
      </c>
      <c r="D312">
        <f t="shared" si="8"/>
        <v>251.70799999999997</v>
      </c>
      <c r="E312">
        <f t="shared" si="9"/>
        <v>0</v>
      </c>
    </row>
    <row r="313" spans="1:5" x14ac:dyDescent="0.25">
      <c r="A313" s="1">
        <v>44186</v>
      </c>
      <c r="B313">
        <v>190</v>
      </c>
      <c r="C313">
        <v>2.2787536009528289</v>
      </c>
      <c r="D313">
        <f t="shared" si="8"/>
        <v>251.70799999999997</v>
      </c>
      <c r="E313">
        <f t="shared" si="9"/>
        <v>0</v>
      </c>
    </row>
    <row r="314" spans="1:5" x14ac:dyDescent="0.25">
      <c r="A314" s="1">
        <v>44193</v>
      </c>
      <c r="B314">
        <v>188</v>
      </c>
      <c r="C314">
        <v>2.27415784926368</v>
      </c>
      <c r="D314">
        <f t="shared" si="8"/>
        <v>251.70799999999997</v>
      </c>
      <c r="E314">
        <f t="shared" si="9"/>
        <v>0</v>
      </c>
    </row>
    <row r="315" spans="1:5" x14ac:dyDescent="0.25">
      <c r="A315" s="1">
        <v>44200</v>
      </c>
      <c r="B315">
        <v>175</v>
      </c>
      <c r="C315">
        <v>2.2430380486862944</v>
      </c>
      <c r="D315">
        <f t="shared" si="8"/>
        <v>251.70799999999997</v>
      </c>
      <c r="E315">
        <f t="shared" si="9"/>
        <v>0</v>
      </c>
    </row>
    <row r="316" spans="1:5" x14ac:dyDescent="0.25">
      <c r="A316" s="1">
        <v>44207</v>
      </c>
      <c r="B316">
        <v>154</v>
      </c>
      <c r="C316">
        <v>2.1875207208364631</v>
      </c>
      <c r="D316">
        <f t="shared" si="8"/>
        <v>251.70799999999997</v>
      </c>
      <c r="E316">
        <f t="shared" si="9"/>
        <v>0</v>
      </c>
    </row>
    <row r="317" spans="1:5" x14ac:dyDescent="0.25">
      <c r="A317" s="1">
        <v>44214</v>
      </c>
      <c r="B317">
        <v>168</v>
      </c>
      <c r="C317">
        <v>2.2253092817258628</v>
      </c>
      <c r="D317">
        <f t="shared" si="8"/>
        <v>251.70799999999997</v>
      </c>
      <c r="E317">
        <f t="shared" si="9"/>
        <v>0</v>
      </c>
    </row>
    <row r="318" spans="1:5" x14ac:dyDescent="0.25">
      <c r="A318" s="1">
        <v>44221</v>
      </c>
      <c r="B318">
        <v>192</v>
      </c>
      <c r="C318">
        <v>2.2833012287035497</v>
      </c>
      <c r="D318">
        <f t="shared" si="8"/>
        <v>251.70799999999997</v>
      </c>
      <c r="E318">
        <f t="shared" si="9"/>
        <v>0</v>
      </c>
    </row>
    <row r="319" spans="1:5" x14ac:dyDescent="0.25">
      <c r="A319" s="1">
        <v>44228</v>
      </c>
      <c r="B319">
        <v>169</v>
      </c>
      <c r="C319">
        <v>2.2278867046136734</v>
      </c>
      <c r="D319">
        <f t="shared" si="8"/>
        <v>251.70799999999997</v>
      </c>
      <c r="E319">
        <f t="shared" si="9"/>
        <v>0</v>
      </c>
    </row>
    <row r="320" spans="1:5" x14ac:dyDescent="0.25">
      <c r="A320" s="1">
        <v>44235</v>
      </c>
      <c r="B320">
        <v>171</v>
      </c>
      <c r="C320">
        <v>2.2329961103921536</v>
      </c>
      <c r="D320">
        <f t="shared" si="8"/>
        <v>251.70799999999997</v>
      </c>
      <c r="E320">
        <f t="shared" si="9"/>
        <v>0</v>
      </c>
    </row>
    <row r="321" spans="1:5" x14ac:dyDescent="0.25">
      <c r="A321" s="1">
        <v>44242</v>
      </c>
      <c r="B321">
        <v>165</v>
      </c>
      <c r="C321">
        <v>2.2174839442139063</v>
      </c>
      <c r="D321">
        <f t="shared" si="8"/>
        <v>251.70799999999997</v>
      </c>
      <c r="E321">
        <f t="shared" si="9"/>
        <v>0</v>
      </c>
    </row>
    <row r="322" spans="1:5" x14ac:dyDescent="0.25">
      <c r="A322" s="1">
        <v>44249</v>
      </c>
      <c r="B322">
        <v>161</v>
      </c>
      <c r="C322">
        <v>2.2068258760318495</v>
      </c>
      <c r="D322">
        <f t="shared" si="8"/>
        <v>251.70799999999997</v>
      </c>
      <c r="E322">
        <f t="shared" si="9"/>
        <v>0</v>
      </c>
    </row>
    <row r="323" spans="1:5" x14ac:dyDescent="0.25">
      <c r="A323" s="1">
        <v>44256</v>
      </c>
      <c r="B323">
        <v>178</v>
      </c>
      <c r="C323">
        <v>2.2504200023088941</v>
      </c>
      <c r="D323">
        <f t="shared" ref="D323:D386" si="10">1*$H$2</f>
        <v>251.70799999999997</v>
      </c>
      <c r="E323">
        <f t="shared" ref="E323:E386" si="11">IF(B323-D323&gt;0,B323-D323, 0)</f>
        <v>0</v>
      </c>
    </row>
    <row r="324" spans="1:5" x14ac:dyDescent="0.25">
      <c r="A324" s="1">
        <v>44263</v>
      </c>
      <c r="B324">
        <v>166</v>
      </c>
      <c r="C324">
        <v>2.220108088040055</v>
      </c>
      <c r="D324">
        <f t="shared" si="10"/>
        <v>251.70799999999997</v>
      </c>
      <c r="E324">
        <f t="shared" si="11"/>
        <v>0</v>
      </c>
    </row>
    <row r="325" spans="1:5" x14ac:dyDescent="0.25">
      <c r="A325" s="1">
        <v>44270</v>
      </c>
      <c r="B325">
        <v>174</v>
      </c>
      <c r="C325">
        <v>2.2405492482825999</v>
      </c>
      <c r="D325">
        <f t="shared" si="10"/>
        <v>251.70799999999997</v>
      </c>
      <c r="E325">
        <f t="shared" si="11"/>
        <v>0</v>
      </c>
    </row>
    <row r="326" spans="1:5" x14ac:dyDescent="0.25">
      <c r="A326" s="1">
        <v>44277</v>
      </c>
      <c r="B326">
        <v>155</v>
      </c>
      <c r="C326">
        <v>2.1903316981702914</v>
      </c>
      <c r="D326">
        <f t="shared" si="10"/>
        <v>251.70799999999997</v>
      </c>
      <c r="E326">
        <f t="shared" si="11"/>
        <v>0</v>
      </c>
    </row>
    <row r="327" spans="1:5" x14ac:dyDescent="0.25">
      <c r="A327" s="1">
        <v>44284</v>
      </c>
      <c r="B327">
        <v>189</v>
      </c>
      <c r="C327">
        <v>2.2764618041732443</v>
      </c>
      <c r="D327">
        <f t="shared" si="10"/>
        <v>251.70799999999997</v>
      </c>
      <c r="E327">
        <f t="shared" si="11"/>
        <v>0</v>
      </c>
    </row>
    <row r="328" spans="1:5" x14ac:dyDescent="0.25">
      <c r="A328" s="1">
        <v>44291</v>
      </c>
      <c r="B328">
        <v>184</v>
      </c>
      <c r="C328">
        <v>2.2648178230095364</v>
      </c>
      <c r="D328">
        <f t="shared" si="10"/>
        <v>251.70799999999997</v>
      </c>
      <c r="E328">
        <f t="shared" si="11"/>
        <v>0</v>
      </c>
    </row>
    <row r="329" spans="1:5" x14ac:dyDescent="0.25">
      <c r="A329" s="1">
        <v>44298</v>
      </c>
      <c r="B329">
        <v>188</v>
      </c>
      <c r="C329">
        <v>2.27415784926368</v>
      </c>
      <c r="D329">
        <f t="shared" si="10"/>
        <v>251.70799999999997</v>
      </c>
      <c r="E329">
        <f t="shared" si="11"/>
        <v>0</v>
      </c>
    </row>
    <row r="330" spans="1:5" x14ac:dyDescent="0.25">
      <c r="A330" s="1">
        <v>44305</v>
      </c>
      <c r="B330">
        <v>172</v>
      </c>
      <c r="C330">
        <v>2.2355284469075487</v>
      </c>
      <c r="D330">
        <f t="shared" si="10"/>
        <v>251.70799999999997</v>
      </c>
      <c r="E330">
        <f t="shared" si="11"/>
        <v>0</v>
      </c>
    </row>
    <row r="331" spans="1:5" x14ac:dyDescent="0.25">
      <c r="A331" s="1">
        <v>44312</v>
      </c>
      <c r="B331">
        <v>185</v>
      </c>
      <c r="C331">
        <v>2.2671717284030137</v>
      </c>
      <c r="D331">
        <f t="shared" si="10"/>
        <v>251.70799999999997</v>
      </c>
      <c r="E331">
        <f t="shared" si="11"/>
        <v>0</v>
      </c>
    </row>
    <row r="332" spans="1:5" x14ac:dyDescent="0.25">
      <c r="A332" s="1">
        <v>44319</v>
      </c>
      <c r="B332">
        <v>223</v>
      </c>
      <c r="C332">
        <v>2.3483048630481607</v>
      </c>
      <c r="D332">
        <f t="shared" si="10"/>
        <v>251.70799999999997</v>
      </c>
      <c r="E332">
        <f t="shared" si="11"/>
        <v>0</v>
      </c>
    </row>
    <row r="333" spans="1:5" x14ac:dyDescent="0.25">
      <c r="A333" s="1">
        <v>44326</v>
      </c>
      <c r="B333">
        <v>150</v>
      </c>
      <c r="C333">
        <v>2.1760912590556813</v>
      </c>
      <c r="D333">
        <f t="shared" si="10"/>
        <v>251.70799999999997</v>
      </c>
      <c r="E333">
        <f t="shared" si="11"/>
        <v>0</v>
      </c>
    </row>
    <row r="334" spans="1:5" x14ac:dyDescent="0.25">
      <c r="A334" s="1">
        <v>44333</v>
      </c>
      <c r="B334">
        <v>159</v>
      </c>
      <c r="C334">
        <v>2.2013971243204513</v>
      </c>
      <c r="D334">
        <f t="shared" si="10"/>
        <v>251.70799999999997</v>
      </c>
      <c r="E334">
        <f t="shared" si="11"/>
        <v>0</v>
      </c>
    </row>
    <row r="335" spans="1:5" x14ac:dyDescent="0.25">
      <c r="A335" s="1">
        <v>44340</v>
      </c>
      <c r="B335">
        <v>163</v>
      </c>
      <c r="C335">
        <v>2.2121876044039577</v>
      </c>
      <c r="D335">
        <f t="shared" si="10"/>
        <v>251.70799999999997</v>
      </c>
      <c r="E335">
        <f t="shared" si="11"/>
        <v>0</v>
      </c>
    </row>
    <row r="336" spans="1:5" x14ac:dyDescent="0.25">
      <c r="A336" s="1">
        <v>44347</v>
      </c>
      <c r="B336">
        <v>165</v>
      </c>
      <c r="C336">
        <v>2.2174839442139063</v>
      </c>
      <c r="D336">
        <f t="shared" si="10"/>
        <v>251.70799999999997</v>
      </c>
      <c r="E336">
        <f t="shared" si="11"/>
        <v>0</v>
      </c>
    </row>
    <row r="337" spans="1:5" x14ac:dyDescent="0.25">
      <c r="A337" s="1">
        <v>44354</v>
      </c>
      <c r="B337">
        <v>149</v>
      </c>
      <c r="C337">
        <v>2.173186268412274</v>
      </c>
      <c r="D337">
        <f t="shared" si="10"/>
        <v>251.70799999999997</v>
      </c>
      <c r="E337">
        <f t="shared" si="11"/>
        <v>0</v>
      </c>
    </row>
    <row r="338" spans="1:5" x14ac:dyDescent="0.25">
      <c r="A338" s="1">
        <v>44361</v>
      </c>
      <c r="B338">
        <v>175</v>
      </c>
      <c r="C338">
        <v>2.2430380486862944</v>
      </c>
      <c r="D338">
        <f t="shared" si="10"/>
        <v>251.70799999999997</v>
      </c>
      <c r="E338">
        <f t="shared" si="11"/>
        <v>0</v>
      </c>
    </row>
    <row r="339" spans="1:5" x14ac:dyDescent="0.25">
      <c r="A339" s="1">
        <v>44368</v>
      </c>
      <c r="B339">
        <v>144</v>
      </c>
      <c r="C339">
        <v>2.1583624920952498</v>
      </c>
      <c r="D339">
        <f t="shared" si="10"/>
        <v>251.70799999999997</v>
      </c>
      <c r="E339">
        <f t="shared" si="11"/>
        <v>0</v>
      </c>
    </row>
    <row r="340" spans="1:5" x14ac:dyDescent="0.25">
      <c r="A340" s="1">
        <v>44375</v>
      </c>
      <c r="B340">
        <v>153</v>
      </c>
      <c r="C340">
        <v>2.1846914308175989</v>
      </c>
      <c r="D340">
        <f t="shared" si="10"/>
        <v>251.70799999999997</v>
      </c>
      <c r="E340">
        <f t="shared" si="11"/>
        <v>0</v>
      </c>
    </row>
    <row r="341" spans="1:5" x14ac:dyDescent="0.25">
      <c r="A341" s="1">
        <v>44382</v>
      </c>
      <c r="B341">
        <v>134</v>
      </c>
      <c r="C341">
        <v>2.1271047983648077</v>
      </c>
      <c r="D341">
        <f t="shared" si="10"/>
        <v>251.70799999999997</v>
      </c>
      <c r="E341">
        <f t="shared" si="11"/>
        <v>0</v>
      </c>
    </row>
    <row r="342" spans="1:5" x14ac:dyDescent="0.25">
      <c r="A342" s="1">
        <v>44389</v>
      </c>
      <c r="B342">
        <v>137</v>
      </c>
      <c r="C342">
        <v>2.1367205671564067</v>
      </c>
      <c r="D342">
        <f t="shared" si="10"/>
        <v>251.70799999999997</v>
      </c>
      <c r="E342">
        <f t="shared" si="11"/>
        <v>0</v>
      </c>
    </row>
    <row r="343" spans="1:5" x14ac:dyDescent="0.25">
      <c r="A343" s="1">
        <v>44396</v>
      </c>
      <c r="B343">
        <v>155</v>
      </c>
      <c r="C343">
        <v>2.1903316981702914</v>
      </c>
      <c r="D343">
        <f t="shared" si="10"/>
        <v>251.70799999999997</v>
      </c>
      <c r="E343">
        <f t="shared" si="11"/>
        <v>0</v>
      </c>
    </row>
    <row r="344" spans="1:5" x14ac:dyDescent="0.25">
      <c r="A344" s="1">
        <v>44403</v>
      </c>
      <c r="B344">
        <v>146</v>
      </c>
      <c r="C344">
        <v>2.1643528557844371</v>
      </c>
      <c r="D344">
        <f t="shared" si="10"/>
        <v>251.70799999999997</v>
      </c>
      <c r="E344">
        <f t="shared" si="11"/>
        <v>0</v>
      </c>
    </row>
    <row r="345" spans="1:5" x14ac:dyDescent="0.25">
      <c r="A345" s="1">
        <v>44410</v>
      </c>
      <c r="B345">
        <v>159</v>
      </c>
      <c r="C345">
        <v>2.2013971243204513</v>
      </c>
      <c r="D345">
        <f t="shared" si="10"/>
        <v>251.70799999999997</v>
      </c>
      <c r="E345">
        <f t="shared" si="11"/>
        <v>0</v>
      </c>
    </row>
    <row r="346" spans="1:5" x14ac:dyDescent="0.25">
      <c r="A346" s="1">
        <v>44417</v>
      </c>
      <c r="B346">
        <v>157</v>
      </c>
      <c r="C346">
        <v>2.1958996524092336</v>
      </c>
      <c r="D346">
        <f t="shared" si="10"/>
        <v>251.70799999999997</v>
      </c>
      <c r="E346">
        <f t="shared" si="11"/>
        <v>0</v>
      </c>
    </row>
    <row r="347" spans="1:5" x14ac:dyDescent="0.25">
      <c r="A347" s="1">
        <v>44424</v>
      </c>
      <c r="B347">
        <v>151</v>
      </c>
      <c r="C347">
        <v>2.1789769472931693</v>
      </c>
      <c r="D347">
        <f t="shared" si="10"/>
        <v>251.70799999999997</v>
      </c>
      <c r="E347">
        <f t="shared" si="11"/>
        <v>0</v>
      </c>
    </row>
    <row r="348" spans="1:5" x14ac:dyDescent="0.25">
      <c r="A348" s="1">
        <v>44431</v>
      </c>
      <c r="B348">
        <v>153</v>
      </c>
      <c r="C348">
        <v>2.1846914308175989</v>
      </c>
      <c r="D348">
        <f t="shared" si="10"/>
        <v>251.70799999999997</v>
      </c>
      <c r="E348">
        <f t="shared" si="11"/>
        <v>0</v>
      </c>
    </row>
    <row r="349" spans="1:5" x14ac:dyDescent="0.25">
      <c r="A349" s="1">
        <v>44438</v>
      </c>
      <c r="B349">
        <v>149</v>
      </c>
      <c r="C349">
        <v>2.173186268412274</v>
      </c>
      <c r="D349">
        <f t="shared" si="10"/>
        <v>251.70799999999997</v>
      </c>
      <c r="E349">
        <f t="shared" si="11"/>
        <v>0</v>
      </c>
    </row>
    <row r="350" spans="1:5" x14ac:dyDescent="0.25">
      <c r="A350" s="1">
        <v>44445</v>
      </c>
      <c r="B350">
        <v>163</v>
      </c>
      <c r="C350">
        <v>2.2121876044039577</v>
      </c>
      <c r="D350">
        <f t="shared" si="10"/>
        <v>251.70799999999997</v>
      </c>
      <c r="E350">
        <f t="shared" si="11"/>
        <v>0</v>
      </c>
    </row>
    <row r="351" spans="1:5" x14ac:dyDescent="0.25">
      <c r="A351" s="1">
        <v>44452</v>
      </c>
      <c r="B351">
        <v>157</v>
      </c>
      <c r="C351">
        <v>2.1958996524092336</v>
      </c>
      <c r="D351">
        <f t="shared" si="10"/>
        <v>251.70799999999997</v>
      </c>
      <c r="E351">
        <f t="shared" si="11"/>
        <v>0</v>
      </c>
    </row>
    <row r="352" spans="1:5" x14ac:dyDescent="0.25">
      <c r="A352" s="1">
        <v>44459</v>
      </c>
      <c r="B352">
        <v>150</v>
      </c>
      <c r="C352">
        <v>2.1760912590556813</v>
      </c>
      <c r="D352">
        <f t="shared" si="10"/>
        <v>251.70799999999997</v>
      </c>
      <c r="E352">
        <f t="shared" si="11"/>
        <v>0</v>
      </c>
    </row>
    <row r="353" spans="1:5" x14ac:dyDescent="0.25">
      <c r="A353" s="1">
        <v>44466</v>
      </c>
      <c r="B353">
        <v>165</v>
      </c>
      <c r="C353">
        <v>2.2174839442139063</v>
      </c>
      <c r="D353">
        <f t="shared" si="10"/>
        <v>251.70799999999997</v>
      </c>
      <c r="E353">
        <f t="shared" si="11"/>
        <v>0</v>
      </c>
    </row>
    <row r="354" spans="1:5" x14ac:dyDescent="0.25">
      <c r="A354" s="1">
        <v>44473</v>
      </c>
      <c r="B354">
        <v>171</v>
      </c>
      <c r="C354">
        <v>2.2329961103921536</v>
      </c>
      <c r="D354">
        <f t="shared" si="10"/>
        <v>251.70799999999997</v>
      </c>
      <c r="E354">
        <f t="shared" si="11"/>
        <v>0</v>
      </c>
    </row>
    <row r="355" spans="1:5" x14ac:dyDescent="0.25">
      <c r="A355" s="1">
        <v>44480</v>
      </c>
      <c r="B355">
        <v>180</v>
      </c>
      <c r="C355">
        <v>2.255272505103306</v>
      </c>
      <c r="D355">
        <f t="shared" si="10"/>
        <v>251.70799999999997</v>
      </c>
      <c r="E355">
        <f t="shared" si="11"/>
        <v>0</v>
      </c>
    </row>
    <row r="356" spans="1:5" x14ac:dyDescent="0.25">
      <c r="A356" s="1">
        <v>44487</v>
      </c>
      <c r="B356">
        <v>183</v>
      </c>
      <c r="C356">
        <v>2.2624510897304293</v>
      </c>
      <c r="D356">
        <f t="shared" si="10"/>
        <v>251.70799999999997</v>
      </c>
      <c r="E356">
        <f t="shared" si="11"/>
        <v>0</v>
      </c>
    </row>
    <row r="357" spans="1:5" x14ac:dyDescent="0.25">
      <c r="A357" s="1">
        <v>44494</v>
      </c>
      <c r="B357">
        <v>195</v>
      </c>
      <c r="C357">
        <v>2.2900346113625178</v>
      </c>
      <c r="D357">
        <f t="shared" si="10"/>
        <v>251.70799999999997</v>
      </c>
      <c r="E357">
        <f t="shared" si="11"/>
        <v>0</v>
      </c>
    </row>
    <row r="358" spans="1:5" x14ac:dyDescent="0.25">
      <c r="A358" s="1">
        <v>44501</v>
      </c>
      <c r="B358">
        <v>174</v>
      </c>
      <c r="C358">
        <v>2.2405492482825999</v>
      </c>
      <c r="D358">
        <f t="shared" si="10"/>
        <v>251.70799999999997</v>
      </c>
      <c r="E358">
        <f t="shared" si="11"/>
        <v>0</v>
      </c>
    </row>
    <row r="359" spans="1:5" x14ac:dyDescent="0.25">
      <c r="A359" s="1">
        <v>44508</v>
      </c>
      <c r="B359">
        <v>187</v>
      </c>
      <c r="C359">
        <v>2.271841606536499</v>
      </c>
      <c r="D359">
        <f t="shared" si="10"/>
        <v>251.70799999999997</v>
      </c>
      <c r="E359">
        <f t="shared" si="11"/>
        <v>0</v>
      </c>
    </row>
    <row r="360" spans="1:5" x14ac:dyDescent="0.25">
      <c r="A360" s="1">
        <v>44515</v>
      </c>
      <c r="B360">
        <v>197</v>
      </c>
      <c r="C360">
        <v>2.2944662261615929</v>
      </c>
      <c r="D360">
        <f t="shared" si="10"/>
        <v>251.70799999999997</v>
      </c>
      <c r="E360">
        <f t="shared" si="11"/>
        <v>0</v>
      </c>
    </row>
    <row r="361" spans="1:5" x14ac:dyDescent="0.25">
      <c r="A361" s="1">
        <v>44522</v>
      </c>
      <c r="B361">
        <v>181</v>
      </c>
      <c r="C361">
        <v>2.2576785748691846</v>
      </c>
      <c r="D361">
        <f t="shared" si="10"/>
        <v>251.70799999999997</v>
      </c>
      <c r="E361">
        <f t="shared" si="11"/>
        <v>0</v>
      </c>
    </row>
    <row r="362" spans="1:5" x14ac:dyDescent="0.25">
      <c r="A362" s="1">
        <v>44529</v>
      </c>
      <c r="B362">
        <v>190</v>
      </c>
      <c r="C362">
        <v>2.2787536009528289</v>
      </c>
      <c r="D362">
        <f t="shared" si="10"/>
        <v>251.70799999999997</v>
      </c>
      <c r="E362">
        <f t="shared" si="11"/>
        <v>0</v>
      </c>
    </row>
    <row r="363" spans="1:5" x14ac:dyDescent="0.25">
      <c r="A363" s="1">
        <v>44536</v>
      </c>
      <c r="B363">
        <v>182</v>
      </c>
      <c r="C363">
        <v>2.2600713879850747</v>
      </c>
      <c r="D363">
        <f t="shared" si="10"/>
        <v>251.70799999999997</v>
      </c>
      <c r="E363">
        <f t="shared" si="11"/>
        <v>0</v>
      </c>
    </row>
    <row r="364" spans="1:5" x14ac:dyDescent="0.25">
      <c r="A364" s="1">
        <v>44543</v>
      </c>
      <c r="B364">
        <v>189</v>
      </c>
      <c r="C364">
        <v>2.2764618041732443</v>
      </c>
      <c r="D364">
        <f t="shared" si="10"/>
        <v>251.70799999999997</v>
      </c>
      <c r="E364">
        <f t="shared" si="11"/>
        <v>0</v>
      </c>
    </row>
    <row r="365" spans="1:5" x14ac:dyDescent="0.25">
      <c r="A365" s="1">
        <v>44550</v>
      </c>
      <c r="B365">
        <v>199</v>
      </c>
      <c r="C365">
        <v>2.2988530764097068</v>
      </c>
      <c r="D365">
        <f t="shared" si="10"/>
        <v>251.70799999999997</v>
      </c>
      <c r="E365">
        <f t="shared" si="11"/>
        <v>0</v>
      </c>
    </row>
    <row r="366" spans="1:5" x14ac:dyDescent="0.25">
      <c r="A366" s="1">
        <v>44557</v>
      </c>
      <c r="B366">
        <v>203</v>
      </c>
      <c r="C366">
        <v>2.307496037913213</v>
      </c>
      <c r="D366">
        <f t="shared" si="10"/>
        <v>251.70799999999997</v>
      </c>
      <c r="E366">
        <f t="shared" si="11"/>
        <v>0</v>
      </c>
    </row>
    <row r="367" spans="1:5" x14ac:dyDescent="0.25">
      <c r="A367" s="1">
        <v>44564</v>
      </c>
      <c r="B367">
        <v>203</v>
      </c>
      <c r="C367">
        <v>2.307496037913213</v>
      </c>
      <c r="D367">
        <f t="shared" si="10"/>
        <v>251.70799999999997</v>
      </c>
      <c r="E367">
        <f t="shared" si="11"/>
        <v>0</v>
      </c>
    </row>
    <row r="368" spans="1:5" x14ac:dyDescent="0.25">
      <c r="A368" s="1">
        <v>44571</v>
      </c>
      <c r="B368">
        <v>172</v>
      </c>
      <c r="C368">
        <v>2.2355284469075487</v>
      </c>
      <c r="D368">
        <f t="shared" si="10"/>
        <v>251.70799999999997</v>
      </c>
      <c r="E368">
        <f t="shared" si="11"/>
        <v>0</v>
      </c>
    </row>
    <row r="369" spans="1:5" x14ac:dyDescent="0.25">
      <c r="A369" s="1">
        <v>44578</v>
      </c>
      <c r="B369">
        <v>207</v>
      </c>
      <c r="C369">
        <v>2.3159703454569178</v>
      </c>
      <c r="D369">
        <f t="shared" si="10"/>
        <v>251.70799999999997</v>
      </c>
      <c r="E369">
        <f t="shared" si="11"/>
        <v>0</v>
      </c>
    </row>
    <row r="370" spans="1:5" x14ac:dyDescent="0.25">
      <c r="A370" s="1">
        <v>44585</v>
      </c>
      <c r="B370">
        <v>214</v>
      </c>
      <c r="C370">
        <v>2.330413773349191</v>
      </c>
      <c r="D370">
        <f t="shared" si="10"/>
        <v>251.70799999999997</v>
      </c>
      <c r="E370">
        <f t="shared" si="11"/>
        <v>0</v>
      </c>
    </row>
    <row r="371" spans="1:5" x14ac:dyDescent="0.25">
      <c r="A371" s="1">
        <v>44592</v>
      </c>
      <c r="B371">
        <v>223</v>
      </c>
      <c r="C371">
        <v>2.3483048630481607</v>
      </c>
      <c r="D371">
        <f t="shared" si="10"/>
        <v>251.70799999999997</v>
      </c>
      <c r="E371">
        <f t="shared" si="11"/>
        <v>0</v>
      </c>
    </row>
    <row r="372" spans="1:5" x14ac:dyDescent="0.25">
      <c r="A372" s="1">
        <v>44599</v>
      </c>
      <c r="B372">
        <v>209</v>
      </c>
      <c r="C372">
        <v>2.3201462861110542</v>
      </c>
      <c r="D372">
        <f t="shared" si="10"/>
        <v>251.70799999999997</v>
      </c>
      <c r="E372">
        <f t="shared" si="11"/>
        <v>0</v>
      </c>
    </row>
    <row r="373" spans="1:5" x14ac:dyDescent="0.25">
      <c r="A373" s="1">
        <v>44606</v>
      </c>
      <c r="B373">
        <v>164</v>
      </c>
      <c r="C373">
        <v>2.214843848047698</v>
      </c>
      <c r="D373">
        <f t="shared" si="10"/>
        <v>251.70799999999997</v>
      </c>
      <c r="E373">
        <f t="shared" si="11"/>
        <v>0</v>
      </c>
    </row>
    <row r="374" spans="1:5" x14ac:dyDescent="0.25">
      <c r="A374" s="1">
        <v>44613</v>
      </c>
      <c r="B374">
        <v>152</v>
      </c>
      <c r="C374">
        <v>2.1818435879447726</v>
      </c>
      <c r="D374">
        <f t="shared" si="10"/>
        <v>251.70799999999997</v>
      </c>
      <c r="E374">
        <f t="shared" si="11"/>
        <v>0</v>
      </c>
    </row>
    <row r="375" spans="1:5" x14ac:dyDescent="0.25">
      <c r="A375" s="1">
        <v>44620</v>
      </c>
      <c r="B375">
        <v>136</v>
      </c>
      <c r="C375">
        <v>2.1335389083702174</v>
      </c>
      <c r="D375">
        <f t="shared" si="10"/>
        <v>251.70799999999997</v>
      </c>
      <c r="E375">
        <f t="shared" si="11"/>
        <v>0</v>
      </c>
    </row>
    <row r="376" spans="1:5" x14ac:dyDescent="0.25">
      <c r="A376" s="1">
        <v>44627</v>
      </c>
      <c r="B376">
        <v>205</v>
      </c>
      <c r="C376">
        <v>2.3117538610557542</v>
      </c>
      <c r="D376">
        <f t="shared" si="10"/>
        <v>251.70799999999997</v>
      </c>
      <c r="E376">
        <f t="shared" si="11"/>
        <v>0</v>
      </c>
    </row>
    <row r="377" spans="1:5" x14ac:dyDescent="0.25">
      <c r="A377" s="1">
        <v>44634</v>
      </c>
      <c r="B377">
        <v>188</v>
      </c>
      <c r="C377">
        <v>2.27415784926368</v>
      </c>
      <c r="D377">
        <f t="shared" si="10"/>
        <v>251.70799999999997</v>
      </c>
      <c r="E377">
        <f t="shared" si="11"/>
        <v>0</v>
      </c>
    </row>
    <row r="378" spans="1:5" x14ac:dyDescent="0.25">
      <c r="A378" s="1">
        <v>44641</v>
      </c>
      <c r="B378">
        <v>162</v>
      </c>
      <c r="C378">
        <v>2.2095150145426308</v>
      </c>
      <c r="D378">
        <f t="shared" si="10"/>
        <v>251.70799999999997</v>
      </c>
      <c r="E378">
        <f t="shared" si="11"/>
        <v>0</v>
      </c>
    </row>
    <row r="379" spans="1:5" x14ac:dyDescent="0.25">
      <c r="A379" s="1">
        <v>44648</v>
      </c>
      <c r="B379">
        <v>178</v>
      </c>
      <c r="C379">
        <v>2.2504200023088941</v>
      </c>
      <c r="D379">
        <f t="shared" si="10"/>
        <v>251.70799999999997</v>
      </c>
      <c r="E379">
        <f t="shared" si="11"/>
        <v>0</v>
      </c>
    </row>
    <row r="380" spans="1:5" x14ac:dyDescent="0.25">
      <c r="A380" s="1">
        <v>44655</v>
      </c>
      <c r="B380">
        <v>176</v>
      </c>
      <c r="C380">
        <v>2.2455126678141499</v>
      </c>
      <c r="D380">
        <f t="shared" si="10"/>
        <v>251.70799999999997</v>
      </c>
      <c r="E380">
        <f t="shared" si="11"/>
        <v>0</v>
      </c>
    </row>
    <row r="381" spans="1:5" x14ac:dyDescent="0.25">
      <c r="A381" s="1">
        <v>44662</v>
      </c>
      <c r="B381">
        <v>193</v>
      </c>
      <c r="C381">
        <v>2.2855573090077739</v>
      </c>
      <c r="D381">
        <f t="shared" si="10"/>
        <v>251.70799999999997</v>
      </c>
      <c r="E381">
        <f t="shared" si="11"/>
        <v>0</v>
      </c>
    </row>
    <row r="382" spans="1:5" x14ac:dyDescent="0.25">
      <c r="A382" s="1">
        <v>44669</v>
      </c>
      <c r="B382">
        <v>179</v>
      </c>
      <c r="C382">
        <v>2.2528530309798933</v>
      </c>
      <c r="D382">
        <f t="shared" si="10"/>
        <v>251.70799999999997</v>
      </c>
      <c r="E382">
        <f t="shared" si="11"/>
        <v>0</v>
      </c>
    </row>
    <row r="383" spans="1:5" x14ac:dyDescent="0.25">
      <c r="A383" s="1">
        <v>44676</v>
      </c>
      <c r="B383">
        <v>149</v>
      </c>
      <c r="C383">
        <v>2.173186268412274</v>
      </c>
      <c r="D383">
        <f t="shared" si="10"/>
        <v>251.70799999999997</v>
      </c>
      <c r="E383">
        <f t="shared" si="11"/>
        <v>0</v>
      </c>
    </row>
    <row r="384" spans="1:5" x14ac:dyDescent="0.25">
      <c r="A384" s="1">
        <v>44683</v>
      </c>
      <c r="B384">
        <v>169</v>
      </c>
      <c r="C384">
        <v>2.2278867046136734</v>
      </c>
      <c r="D384">
        <f t="shared" si="10"/>
        <v>251.70799999999997</v>
      </c>
      <c r="E384">
        <f t="shared" si="11"/>
        <v>0</v>
      </c>
    </row>
    <row r="385" spans="1:5" x14ac:dyDescent="0.25">
      <c r="A385" s="1">
        <v>44690</v>
      </c>
      <c r="B385">
        <v>142</v>
      </c>
      <c r="C385">
        <v>2.1522883443830563</v>
      </c>
      <c r="D385">
        <f t="shared" si="10"/>
        <v>251.70799999999997</v>
      </c>
      <c r="E385">
        <f t="shared" si="11"/>
        <v>0</v>
      </c>
    </row>
    <row r="386" spans="1:5" x14ac:dyDescent="0.25">
      <c r="A386" s="1">
        <v>44697</v>
      </c>
      <c r="B386">
        <v>161</v>
      </c>
      <c r="C386">
        <v>2.2068258760318495</v>
      </c>
      <c r="D386">
        <f t="shared" si="10"/>
        <v>251.70799999999997</v>
      </c>
      <c r="E386">
        <f t="shared" si="11"/>
        <v>0</v>
      </c>
    </row>
    <row r="387" spans="1:5" x14ac:dyDescent="0.25">
      <c r="A387" s="1">
        <v>44704</v>
      </c>
      <c r="B387">
        <v>148</v>
      </c>
      <c r="C387">
        <v>2.1702617153949575</v>
      </c>
      <c r="D387">
        <f t="shared" ref="D387:D450" si="12">1*$H$2</f>
        <v>251.70799999999997</v>
      </c>
      <c r="E387">
        <f t="shared" ref="E387:E450" si="13">IF(B387-D387&gt;0,B387-D387, 0)</f>
        <v>0</v>
      </c>
    </row>
    <row r="388" spans="1:5" x14ac:dyDescent="0.25">
      <c r="A388" s="1">
        <v>44711</v>
      </c>
      <c r="B388">
        <v>147</v>
      </c>
      <c r="C388">
        <v>2.167317334748176</v>
      </c>
      <c r="D388">
        <f t="shared" si="12"/>
        <v>251.70799999999997</v>
      </c>
      <c r="E388">
        <f t="shared" si="13"/>
        <v>0</v>
      </c>
    </row>
    <row r="389" spans="1:5" x14ac:dyDescent="0.25">
      <c r="A389" s="1">
        <v>44718</v>
      </c>
      <c r="B389">
        <v>149</v>
      </c>
      <c r="C389">
        <v>2.173186268412274</v>
      </c>
      <c r="D389">
        <f t="shared" si="12"/>
        <v>251.70799999999997</v>
      </c>
      <c r="E389">
        <f t="shared" si="13"/>
        <v>0</v>
      </c>
    </row>
    <row r="390" spans="1:5" x14ac:dyDescent="0.25">
      <c r="A390" s="1">
        <v>44725</v>
      </c>
      <c r="B390">
        <v>168</v>
      </c>
      <c r="C390">
        <v>2.2253092817258628</v>
      </c>
      <c r="D390">
        <f t="shared" si="12"/>
        <v>251.70799999999997</v>
      </c>
      <c r="E390">
        <f t="shared" si="13"/>
        <v>0</v>
      </c>
    </row>
    <row r="391" spans="1:5" x14ac:dyDescent="0.25">
      <c r="A391" s="1">
        <v>44732</v>
      </c>
      <c r="B391">
        <v>165</v>
      </c>
      <c r="C391">
        <v>2.2174839442139063</v>
      </c>
      <c r="D391">
        <f t="shared" si="12"/>
        <v>251.70799999999997</v>
      </c>
      <c r="E391">
        <f t="shared" si="13"/>
        <v>0</v>
      </c>
    </row>
    <row r="392" spans="1:5" x14ac:dyDescent="0.25">
      <c r="A392" s="1">
        <v>44739</v>
      </c>
      <c r="B392">
        <v>153</v>
      </c>
      <c r="C392">
        <v>2.1846914308175989</v>
      </c>
      <c r="D392">
        <f t="shared" si="12"/>
        <v>251.70799999999997</v>
      </c>
      <c r="E392">
        <f t="shared" si="13"/>
        <v>0</v>
      </c>
    </row>
    <row r="393" spans="1:5" x14ac:dyDescent="0.25">
      <c r="A393" s="1">
        <v>44746</v>
      </c>
      <c r="B393">
        <v>151</v>
      </c>
      <c r="C393">
        <v>2.1789769472931693</v>
      </c>
      <c r="D393">
        <f t="shared" si="12"/>
        <v>251.70799999999997</v>
      </c>
      <c r="E393">
        <f t="shared" si="13"/>
        <v>0</v>
      </c>
    </row>
    <row r="394" spans="1:5" x14ac:dyDescent="0.25">
      <c r="A394" s="1">
        <v>44753</v>
      </c>
      <c r="B394">
        <v>140</v>
      </c>
      <c r="C394">
        <v>2.1461280356782382</v>
      </c>
      <c r="D394">
        <f t="shared" si="12"/>
        <v>251.70799999999997</v>
      </c>
      <c r="E394">
        <f t="shared" si="13"/>
        <v>0</v>
      </c>
    </row>
    <row r="395" spans="1:5" x14ac:dyDescent="0.25">
      <c r="A395" s="1">
        <v>44760</v>
      </c>
      <c r="B395">
        <v>199</v>
      </c>
      <c r="C395">
        <v>2.2988530764097068</v>
      </c>
      <c r="D395">
        <f t="shared" si="12"/>
        <v>251.70799999999997</v>
      </c>
      <c r="E395">
        <f t="shared" si="13"/>
        <v>0</v>
      </c>
    </row>
    <row r="396" spans="1:5" x14ac:dyDescent="0.25">
      <c r="A396" s="1">
        <v>44767</v>
      </c>
      <c r="B396">
        <v>168</v>
      </c>
      <c r="C396">
        <v>2.2253092817258628</v>
      </c>
      <c r="D396">
        <f t="shared" si="12"/>
        <v>251.70799999999997</v>
      </c>
      <c r="E396">
        <f t="shared" si="13"/>
        <v>0</v>
      </c>
    </row>
    <row r="397" spans="1:5" x14ac:dyDescent="0.25">
      <c r="A397" s="1">
        <v>44774</v>
      </c>
      <c r="B397">
        <v>161</v>
      </c>
      <c r="C397">
        <v>2.2068258760318495</v>
      </c>
      <c r="D397">
        <f t="shared" si="12"/>
        <v>251.70799999999997</v>
      </c>
      <c r="E397">
        <f t="shared" si="13"/>
        <v>0</v>
      </c>
    </row>
    <row r="398" spans="1:5" x14ac:dyDescent="0.25">
      <c r="A398" s="1">
        <v>44781</v>
      </c>
      <c r="B398">
        <v>177</v>
      </c>
      <c r="C398">
        <v>2.2479732663618068</v>
      </c>
      <c r="D398">
        <f t="shared" si="12"/>
        <v>251.70799999999997</v>
      </c>
      <c r="E398">
        <f t="shared" si="13"/>
        <v>0</v>
      </c>
    </row>
    <row r="399" spans="1:5" x14ac:dyDescent="0.25">
      <c r="A399" s="1">
        <v>44788</v>
      </c>
      <c r="B399">
        <v>149</v>
      </c>
      <c r="C399">
        <v>2.173186268412274</v>
      </c>
      <c r="D399">
        <f t="shared" si="12"/>
        <v>251.70799999999997</v>
      </c>
      <c r="E399">
        <f t="shared" si="13"/>
        <v>0</v>
      </c>
    </row>
    <row r="400" spans="1:5" x14ac:dyDescent="0.25">
      <c r="A400" s="1">
        <v>44795</v>
      </c>
      <c r="B400">
        <v>164</v>
      </c>
      <c r="C400">
        <v>2.214843848047698</v>
      </c>
      <c r="D400">
        <f t="shared" si="12"/>
        <v>251.70799999999997</v>
      </c>
      <c r="E400">
        <f t="shared" si="13"/>
        <v>0</v>
      </c>
    </row>
    <row r="401" spans="1:5" x14ac:dyDescent="0.25">
      <c r="A401" s="1">
        <v>44802</v>
      </c>
      <c r="B401">
        <v>138</v>
      </c>
      <c r="C401">
        <v>2.1398790864012365</v>
      </c>
      <c r="D401">
        <f t="shared" si="12"/>
        <v>251.70799999999997</v>
      </c>
      <c r="E401">
        <f t="shared" si="13"/>
        <v>0</v>
      </c>
    </row>
    <row r="402" spans="1:5" x14ac:dyDescent="0.25">
      <c r="A402" s="1">
        <v>44809</v>
      </c>
      <c r="B402">
        <v>170</v>
      </c>
      <c r="C402">
        <v>2.2304489213782741</v>
      </c>
      <c r="D402">
        <f t="shared" si="12"/>
        <v>251.70799999999997</v>
      </c>
      <c r="E402">
        <f t="shared" si="13"/>
        <v>0</v>
      </c>
    </row>
    <row r="403" spans="1:5" x14ac:dyDescent="0.25">
      <c r="A403" s="1">
        <v>44816</v>
      </c>
      <c r="B403">
        <v>143</v>
      </c>
      <c r="C403">
        <v>2.1553360374650619</v>
      </c>
      <c r="D403">
        <f t="shared" si="12"/>
        <v>251.70799999999997</v>
      </c>
      <c r="E403">
        <f t="shared" si="13"/>
        <v>0</v>
      </c>
    </row>
    <row r="404" spans="1:5" x14ac:dyDescent="0.25">
      <c r="A404" s="1">
        <v>44823</v>
      </c>
      <c r="B404">
        <v>135</v>
      </c>
      <c r="C404">
        <v>2.1303337684950061</v>
      </c>
      <c r="D404">
        <f t="shared" si="12"/>
        <v>251.70799999999997</v>
      </c>
      <c r="E404">
        <f t="shared" si="13"/>
        <v>0</v>
      </c>
    </row>
    <row r="405" spans="1:5" x14ac:dyDescent="0.25">
      <c r="A405" s="1">
        <v>44830</v>
      </c>
      <c r="B405">
        <v>150</v>
      </c>
      <c r="C405">
        <v>2.1760912590556813</v>
      </c>
      <c r="D405">
        <f t="shared" si="12"/>
        <v>251.70799999999997</v>
      </c>
      <c r="E405">
        <f t="shared" si="13"/>
        <v>0</v>
      </c>
    </row>
    <row r="406" spans="1:5" x14ac:dyDescent="0.25">
      <c r="A406" s="1">
        <v>44837</v>
      </c>
      <c r="B406">
        <v>180</v>
      </c>
      <c r="C406">
        <v>2.255272505103306</v>
      </c>
      <c r="D406">
        <f t="shared" si="12"/>
        <v>251.70799999999997</v>
      </c>
      <c r="E406">
        <f t="shared" si="13"/>
        <v>0</v>
      </c>
    </row>
    <row r="407" spans="1:5" x14ac:dyDescent="0.25">
      <c r="A407" s="1">
        <v>44844</v>
      </c>
      <c r="B407">
        <v>151</v>
      </c>
      <c r="C407">
        <v>2.1789769472931693</v>
      </c>
      <c r="D407">
        <f t="shared" si="12"/>
        <v>251.70799999999997</v>
      </c>
      <c r="E407">
        <f t="shared" si="13"/>
        <v>0</v>
      </c>
    </row>
    <row r="408" spans="1:5" x14ac:dyDescent="0.25">
      <c r="A408" s="1">
        <v>44851</v>
      </c>
      <c r="B408">
        <v>170</v>
      </c>
      <c r="C408">
        <v>2.2304489213782741</v>
      </c>
      <c r="D408">
        <f t="shared" si="12"/>
        <v>251.70799999999997</v>
      </c>
      <c r="E408">
        <f t="shared" si="13"/>
        <v>0</v>
      </c>
    </row>
    <row r="409" spans="1:5" x14ac:dyDescent="0.25">
      <c r="A409" s="1">
        <v>44858</v>
      </c>
      <c r="B409">
        <v>186</v>
      </c>
      <c r="C409">
        <v>2.2695129442179165</v>
      </c>
      <c r="D409">
        <f t="shared" si="12"/>
        <v>251.70799999999997</v>
      </c>
      <c r="E409">
        <f t="shared" si="13"/>
        <v>0</v>
      </c>
    </row>
    <row r="410" spans="1:5" x14ac:dyDescent="0.25">
      <c r="A410" s="1">
        <v>44865</v>
      </c>
      <c r="B410">
        <v>166</v>
      </c>
      <c r="C410">
        <v>2.220108088040055</v>
      </c>
      <c r="D410">
        <f t="shared" si="12"/>
        <v>251.70799999999997</v>
      </c>
      <c r="E410">
        <f t="shared" si="13"/>
        <v>0</v>
      </c>
    </row>
    <row r="411" spans="1:5" x14ac:dyDescent="0.25">
      <c r="A411" s="1">
        <v>44872</v>
      </c>
      <c r="B411">
        <v>165</v>
      </c>
      <c r="C411">
        <v>2.2174839442139063</v>
      </c>
      <c r="D411">
        <f t="shared" si="12"/>
        <v>251.70799999999997</v>
      </c>
      <c r="E411">
        <f t="shared" si="13"/>
        <v>0</v>
      </c>
    </row>
    <row r="412" spans="1:5" x14ac:dyDescent="0.25">
      <c r="A412" s="1">
        <v>44879</v>
      </c>
      <c r="B412">
        <v>144</v>
      </c>
      <c r="C412">
        <v>2.1583624920952498</v>
      </c>
      <c r="D412">
        <f t="shared" si="12"/>
        <v>251.70799999999997</v>
      </c>
      <c r="E412">
        <f t="shared" si="13"/>
        <v>0</v>
      </c>
    </row>
    <row r="413" spans="1:5" x14ac:dyDescent="0.25">
      <c r="A413" s="1">
        <v>44886</v>
      </c>
      <c r="B413">
        <v>185</v>
      </c>
      <c r="C413">
        <v>2.2671717284030137</v>
      </c>
      <c r="D413">
        <f t="shared" si="12"/>
        <v>251.70799999999997</v>
      </c>
      <c r="E413">
        <f t="shared" si="13"/>
        <v>0</v>
      </c>
    </row>
    <row r="414" spans="1:5" x14ac:dyDescent="0.25">
      <c r="A414" s="1">
        <v>44893</v>
      </c>
      <c r="B414">
        <v>170</v>
      </c>
      <c r="C414">
        <v>2.2304489213782741</v>
      </c>
      <c r="D414">
        <f t="shared" si="12"/>
        <v>251.70799999999997</v>
      </c>
      <c r="E414">
        <f t="shared" si="13"/>
        <v>0</v>
      </c>
    </row>
    <row r="415" spans="1:5" x14ac:dyDescent="0.25">
      <c r="A415" s="1">
        <v>44900</v>
      </c>
      <c r="B415">
        <v>154</v>
      </c>
      <c r="C415">
        <v>2.1875207208364631</v>
      </c>
      <c r="D415">
        <f t="shared" si="12"/>
        <v>251.70799999999997</v>
      </c>
      <c r="E415">
        <f t="shared" si="13"/>
        <v>0</v>
      </c>
    </row>
    <row r="416" spans="1:5" x14ac:dyDescent="0.25">
      <c r="A416" s="1">
        <v>44907</v>
      </c>
      <c r="B416">
        <v>212</v>
      </c>
      <c r="C416">
        <v>2.3263358609287512</v>
      </c>
      <c r="D416">
        <f t="shared" si="12"/>
        <v>251.70799999999997</v>
      </c>
      <c r="E416">
        <f t="shared" si="13"/>
        <v>0</v>
      </c>
    </row>
    <row r="417" spans="1:5" x14ac:dyDescent="0.25">
      <c r="A417" s="1">
        <v>44914</v>
      </c>
      <c r="B417">
        <v>234</v>
      </c>
      <c r="C417">
        <v>2.369215857410143</v>
      </c>
      <c r="D417">
        <f t="shared" si="12"/>
        <v>251.70799999999997</v>
      </c>
      <c r="E417">
        <f t="shared" si="13"/>
        <v>0</v>
      </c>
    </row>
    <row r="418" spans="1:5" x14ac:dyDescent="0.25">
      <c r="A418" s="1">
        <v>44921</v>
      </c>
      <c r="B418">
        <v>217</v>
      </c>
      <c r="C418">
        <v>2.3364597338485296</v>
      </c>
      <c r="D418">
        <f t="shared" si="12"/>
        <v>251.70799999999997</v>
      </c>
      <c r="E418">
        <f t="shared" si="13"/>
        <v>0</v>
      </c>
    </row>
    <row r="419" spans="1:5" x14ac:dyDescent="0.25">
      <c r="A419" s="1">
        <v>44928</v>
      </c>
      <c r="B419">
        <v>212</v>
      </c>
      <c r="C419">
        <v>2.3263358609287512</v>
      </c>
      <c r="D419">
        <f t="shared" si="12"/>
        <v>251.70799999999997</v>
      </c>
      <c r="E419">
        <f t="shared" si="13"/>
        <v>0</v>
      </c>
    </row>
    <row r="420" spans="1:5" x14ac:dyDescent="0.25">
      <c r="A420" s="1">
        <v>44935</v>
      </c>
      <c r="B420">
        <v>224</v>
      </c>
      <c r="C420">
        <v>2.3502480183341627</v>
      </c>
      <c r="D420">
        <f t="shared" si="12"/>
        <v>251.70799999999997</v>
      </c>
      <c r="E420">
        <f t="shared" si="13"/>
        <v>0</v>
      </c>
    </row>
    <row r="421" spans="1:5" x14ac:dyDescent="0.25">
      <c r="A421" s="1">
        <v>44942</v>
      </c>
      <c r="B421">
        <v>171</v>
      </c>
      <c r="C421">
        <v>2.2329961103921536</v>
      </c>
      <c r="D421">
        <f t="shared" si="12"/>
        <v>251.70799999999997</v>
      </c>
      <c r="E421">
        <f t="shared" si="13"/>
        <v>0</v>
      </c>
    </row>
    <row r="422" spans="1:5" x14ac:dyDescent="0.25">
      <c r="A422" s="1">
        <v>44949</v>
      </c>
      <c r="B422">
        <v>159</v>
      </c>
      <c r="C422">
        <v>2.2013971243204513</v>
      </c>
      <c r="D422">
        <f t="shared" si="12"/>
        <v>251.70799999999997</v>
      </c>
      <c r="E422">
        <f t="shared" si="13"/>
        <v>0</v>
      </c>
    </row>
    <row r="423" spans="1:5" x14ac:dyDescent="0.25">
      <c r="A423" s="1">
        <v>44956</v>
      </c>
      <c r="B423">
        <v>185</v>
      </c>
      <c r="C423">
        <v>2.2671717284030137</v>
      </c>
      <c r="D423">
        <f t="shared" si="12"/>
        <v>251.70799999999997</v>
      </c>
      <c r="E423">
        <f t="shared" si="13"/>
        <v>0</v>
      </c>
    </row>
    <row r="424" spans="1:5" x14ac:dyDescent="0.25">
      <c r="A424" s="1">
        <v>44963</v>
      </c>
      <c r="B424">
        <v>187</v>
      </c>
      <c r="C424">
        <v>2.271841606536499</v>
      </c>
      <c r="D424">
        <f t="shared" si="12"/>
        <v>251.70799999999997</v>
      </c>
      <c r="E424">
        <f t="shared" si="13"/>
        <v>0</v>
      </c>
    </row>
    <row r="425" spans="1:5" x14ac:dyDescent="0.25">
      <c r="A425" s="1">
        <v>44970</v>
      </c>
      <c r="B425">
        <v>168</v>
      </c>
      <c r="C425">
        <v>2.2253092817258628</v>
      </c>
      <c r="D425">
        <f t="shared" si="12"/>
        <v>251.70799999999997</v>
      </c>
      <c r="E425">
        <f t="shared" si="13"/>
        <v>0</v>
      </c>
    </row>
    <row r="426" spans="1:5" x14ac:dyDescent="0.25">
      <c r="A426" s="1">
        <v>44977</v>
      </c>
      <c r="B426">
        <v>159</v>
      </c>
      <c r="C426">
        <v>2.2013971243204513</v>
      </c>
      <c r="D426">
        <f t="shared" si="12"/>
        <v>251.70799999999997</v>
      </c>
      <c r="E426">
        <f t="shared" si="13"/>
        <v>0</v>
      </c>
    </row>
    <row r="427" spans="1:5" x14ac:dyDescent="0.25">
      <c r="A427" s="1">
        <v>44984</v>
      </c>
      <c r="B427">
        <v>166</v>
      </c>
      <c r="C427">
        <v>2.220108088040055</v>
      </c>
      <c r="D427">
        <f t="shared" si="12"/>
        <v>251.70799999999997</v>
      </c>
      <c r="E427">
        <f t="shared" si="13"/>
        <v>0</v>
      </c>
    </row>
    <row r="428" spans="1:5" x14ac:dyDescent="0.25">
      <c r="A428" s="1">
        <v>44991</v>
      </c>
      <c r="B428">
        <v>170</v>
      </c>
      <c r="C428">
        <v>2.2304489213782741</v>
      </c>
      <c r="D428">
        <f t="shared" si="12"/>
        <v>251.70799999999997</v>
      </c>
      <c r="E428">
        <f t="shared" si="13"/>
        <v>0</v>
      </c>
    </row>
    <row r="429" spans="1:5" x14ac:dyDescent="0.25">
      <c r="A429" s="1">
        <v>44998</v>
      </c>
      <c r="B429">
        <v>164</v>
      </c>
      <c r="C429">
        <v>2.214843848047698</v>
      </c>
      <c r="D429">
        <f t="shared" si="12"/>
        <v>251.70799999999997</v>
      </c>
      <c r="E429">
        <f t="shared" si="13"/>
        <v>0</v>
      </c>
    </row>
    <row r="430" spans="1:5" x14ac:dyDescent="0.25">
      <c r="A430" s="1">
        <v>45005</v>
      </c>
      <c r="B430">
        <v>151</v>
      </c>
      <c r="C430">
        <v>2.1789769472931693</v>
      </c>
      <c r="D430">
        <f t="shared" si="12"/>
        <v>251.70799999999997</v>
      </c>
      <c r="E430">
        <f t="shared" si="13"/>
        <v>0</v>
      </c>
    </row>
    <row r="431" spans="1:5" x14ac:dyDescent="0.25">
      <c r="A431" s="1">
        <v>45012</v>
      </c>
      <c r="B431">
        <v>178</v>
      </c>
      <c r="C431">
        <v>2.2504200023088941</v>
      </c>
      <c r="D431">
        <f t="shared" si="12"/>
        <v>251.70799999999997</v>
      </c>
      <c r="E431">
        <f t="shared" si="13"/>
        <v>0</v>
      </c>
    </row>
    <row r="432" spans="1:5" x14ac:dyDescent="0.25">
      <c r="A432" s="1">
        <v>45019</v>
      </c>
      <c r="B432">
        <v>166</v>
      </c>
      <c r="C432">
        <v>2.220108088040055</v>
      </c>
      <c r="D432">
        <f t="shared" si="12"/>
        <v>251.70799999999997</v>
      </c>
      <c r="E432">
        <f t="shared" si="13"/>
        <v>0</v>
      </c>
    </row>
    <row r="433" spans="1:5" x14ac:dyDescent="0.25">
      <c r="A433" s="1">
        <v>45026</v>
      </c>
      <c r="B433">
        <v>170</v>
      </c>
      <c r="C433">
        <v>2.2304489213782741</v>
      </c>
      <c r="D433">
        <f t="shared" si="12"/>
        <v>251.70799999999997</v>
      </c>
      <c r="E433">
        <f t="shared" si="13"/>
        <v>0</v>
      </c>
    </row>
    <row r="434" spans="1:5" x14ac:dyDescent="0.25">
      <c r="A434" s="1">
        <v>45033</v>
      </c>
      <c r="B434">
        <v>158</v>
      </c>
      <c r="C434">
        <v>2.1986570869544226</v>
      </c>
      <c r="D434">
        <f t="shared" si="12"/>
        <v>251.70799999999997</v>
      </c>
      <c r="E434">
        <f t="shared" si="13"/>
        <v>0</v>
      </c>
    </row>
    <row r="435" spans="1:5" x14ac:dyDescent="0.25">
      <c r="A435" s="1">
        <v>45040</v>
      </c>
      <c r="B435">
        <v>167</v>
      </c>
      <c r="C435">
        <v>2.2227164711475833</v>
      </c>
      <c r="D435">
        <f t="shared" si="12"/>
        <v>251.70799999999997</v>
      </c>
      <c r="E435">
        <f t="shared" si="13"/>
        <v>0</v>
      </c>
    </row>
    <row r="436" spans="1:5" x14ac:dyDescent="0.25">
      <c r="A436" s="1">
        <v>45047</v>
      </c>
      <c r="B436">
        <v>149</v>
      </c>
      <c r="C436">
        <v>2.173186268412274</v>
      </c>
      <c r="D436">
        <f t="shared" si="12"/>
        <v>251.70799999999997</v>
      </c>
      <c r="E436">
        <f t="shared" si="13"/>
        <v>0</v>
      </c>
    </row>
    <row r="437" spans="1:5" x14ac:dyDescent="0.25">
      <c r="A437" s="1">
        <v>45054</v>
      </c>
      <c r="B437">
        <v>174</v>
      </c>
      <c r="C437">
        <v>2.2405492482825999</v>
      </c>
      <c r="D437">
        <f t="shared" si="12"/>
        <v>251.70799999999997</v>
      </c>
      <c r="E437">
        <f t="shared" si="13"/>
        <v>0</v>
      </c>
    </row>
    <row r="438" spans="1:5" x14ac:dyDescent="0.25">
      <c r="A438" s="1">
        <v>45061</v>
      </c>
      <c r="B438">
        <v>158</v>
      </c>
      <c r="C438">
        <v>2.1986570869544226</v>
      </c>
      <c r="D438">
        <f t="shared" si="12"/>
        <v>251.70799999999997</v>
      </c>
      <c r="E438">
        <f t="shared" si="13"/>
        <v>0</v>
      </c>
    </row>
    <row r="439" spans="1:5" x14ac:dyDescent="0.25">
      <c r="A439" s="1">
        <v>45068</v>
      </c>
      <c r="B439">
        <v>134</v>
      </c>
      <c r="C439">
        <v>2.1271047983648077</v>
      </c>
      <c r="D439">
        <f t="shared" si="12"/>
        <v>251.70799999999997</v>
      </c>
      <c r="E439">
        <f t="shared" si="13"/>
        <v>0</v>
      </c>
    </row>
    <row r="440" spans="1:5" x14ac:dyDescent="0.25">
      <c r="A440" s="1">
        <v>45075</v>
      </c>
      <c r="B440">
        <v>150</v>
      </c>
      <c r="C440">
        <v>2.1760912590556813</v>
      </c>
      <c r="D440">
        <f t="shared" si="12"/>
        <v>251.70799999999997</v>
      </c>
      <c r="E440">
        <f t="shared" si="13"/>
        <v>0</v>
      </c>
    </row>
    <row r="441" spans="1:5" x14ac:dyDescent="0.25">
      <c r="A441" s="1">
        <v>45082</v>
      </c>
      <c r="B441">
        <v>164</v>
      </c>
      <c r="C441">
        <v>2.214843848047698</v>
      </c>
      <c r="D441">
        <f t="shared" si="12"/>
        <v>251.70799999999997</v>
      </c>
      <c r="E441">
        <f t="shared" si="13"/>
        <v>0</v>
      </c>
    </row>
    <row r="442" spans="1:5" x14ac:dyDescent="0.25">
      <c r="A442" s="1">
        <v>45089</v>
      </c>
      <c r="B442">
        <v>179</v>
      </c>
      <c r="C442">
        <v>2.2528530309798933</v>
      </c>
      <c r="D442">
        <f t="shared" si="12"/>
        <v>251.70799999999997</v>
      </c>
      <c r="E442">
        <f t="shared" si="13"/>
        <v>0</v>
      </c>
    </row>
    <row r="443" spans="1:5" x14ac:dyDescent="0.25">
      <c r="A443" s="1">
        <v>45096</v>
      </c>
      <c r="B443">
        <v>120</v>
      </c>
      <c r="C443">
        <v>2.0791812460476247</v>
      </c>
      <c r="D443">
        <f t="shared" si="12"/>
        <v>251.70799999999997</v>
      </c>
      <c r="E443">
        <f t="shared" si="13"/>
        <v>0</v>
      </c>
    </row>
    <row r="444" spans="1:5" x14ac:dyDescent="0.25">
      <c r="A444" s="1">
        <v>45103</v>
      </c>
      <c r="B444">
        <v>162</v>
      </c>
      <c r="C444">
        <v>2.2095150145426308</v>
      </c>
      <c r="D444">
        <f t="shared" si="12"/>
        <v>251.70799999999997</v>
      </c>
      <c r="E444">
        <f t="shared" si="13"/>
        <v>0</v>
      </c>
    </row>
    <row r="445" spans="1:5" x14ac:dyDescent="0.25">
      <c r="A445" s="1">
        <v>45110</v>
      </c>
      <c r="B445">
        <v>151</v>
      </c>
      <c r="C445">
        <v>2.1789769472931693</v>
      </c>
      <c r="D445">
        <f t="shared" si="12"/>
        <v>251.70799999999997</v>
      </c>
      <c r="E445">
        <f t="shared" si="13"/>
        <v>0</v>
      </c>
    </row>
    <row r="446" spans="1:5" x14ac:dyDescent="0.25">
      <c r="A446" s="1">
        <v>45117</v>
      </c>
      <c r="B446">
        <v>150</v>
      </c>
      <c r="C446">
        <v>2.1760912590556813</v>
      </c>
      <c r="D446">
        <f t="shared" si="12"/>
        <v>251.70799999999997</v>
      </c>
      <c r="E446">
        <f t="shared" si="13"/>
        <v>0</v>
      </c>
    </row>
    <row r="447" spans="1:5" x14ac:dyDescent="0.25">
      <c r="A447" s="1">
        <v>45124</v>
      </c>
      <c r="B447">
        <v>142</v>
      </c>
      <c r="C447">
        <v>2.1522883443830563</v>
      </c>
      <c r="D447">
        <f t="shared" si="12"/>
        <v>251.70799999999997</v>
      </c>
      <c r="E447">
        <f t="shared" si="13"/>
        <v>0</v>
      </c>
    </row>
    <row r="448" spans="1:5" x14ac:dyDescent="0.25">
      <c r="A448" s="1">
        <v>45131</v>
      </c>
      <c r="B448">
        <v>138</v>
      </c>
      <c r="C448">
        <v>2.1398790864012365</v>
      </c>
      <c r="D448">
        <f t="shared" si="12"/>
        <v>251.70799999999997</v>
      </c>
      <c r="E448">
        <f t="shared" si="13"/>
        <v>0</v>
      </c>
    </row>
    <row r="449" spans="1:5" x14ac:dyDescent="0.25">
      <c r="A449" s="1">
        <v>45138</v>
      </c>
      <c r="B449">
        <v>144</v>
      </c>
      <c r="C449">
        <v>2.1583624920952498</v>
      </c>
      <c r="D449">
        <f t="shared" si="12"/>
        <v>251.70799999999997</v>
      </c>
      <c r="E449">
        <f t="shared" si="13"/>
        <v>0</v>
      </c>
    </row>
    <row r="450" spans="1:5" x14ac:dyDescent="0.25">
      <c r="A450" s="1">
        <v>45145</v>
      </c>
      <c r="B450">
        <v>141</v>
      </c>
      <c r="C450">
        <v>2.1492191126553797</v>
      </c>
      <c r="D450">
        <f t="shared" si="12"/>
        <v>251.70799999999997</v>
      </c>
      <c r="E450">
        <f t="shared" si="13"/>
        <v>0</v>
      </c>
    </row>
    <row r="451" spans="1:5" x14ac:dyDescent="0.25">
      <c r="A451" s="1">
        <v>45152</v>
      </c>
      <c r="B451">
        <v>147</v>
      </c>
      <c r="C451">
        <v>2.167317334748176</v>
      </c>
      <c r="D451">
        <f t="shared" ref="D451:D470" si="14">1*$H$2</f>
        <v>251.70799999999997</v>
      </c>
      <c r="E451">
        <f t="shared" ref="E451:E470" si="15">IF(B451-D451&gt;0,B451-D451, 0)</f>
        <v>0</v>
      </c>
    </row>
    <row r="452" spans="1:5" x14ac:dyDescent="0.25">
      <c r="A452" s="1">
        <v>45159</v>
      </c>
      <c r="B452">
        <v>162</v>
      </c>
      <c r="C452">
        <v>2.2095150145426308</v>
      </c>
      <c r="D452">
        <f t="shared" si="14"/>
        <v>251.70799999999997</v>
      </c>
      <c r="E452">
        <f t="shared" si="15"/>
        <v>0</v>
      </c>
    </row>
    <row r="453" spans="1:5" x14ac:dyDescent="0.25">
      <c r="A453" s="1">
        <v>45166</v>
      </c>
      <c r="B453">
        <v>157</v>
      </c>
      <c r="C453">
        <v>2.1958996524092336</v>
      </c>
      <c r="D453">
        <f t="shared" si="14"/>
        <v>251.70799999999997</v>
      </c>
      <c r="E453">
        <f t="shared" si="15"/>
        <v>0</v>
      </c>
    </row>
    <row r="454" spans="1:5" x14ac:dyDescent="0.25">
      <c r="A454" s="1">
        <v>45173</v>
      </c>
      <c r="B454">
        <v>153</v>
      </c>
      <c r="C454">
        <v>2.1846914308175989</v>
      </c>
      <c r="D454">
        <f t="shared" si="14"/>
        <v>251.70799999999997</v>
      </c>
      <c r="E454">
        <f t="shared" si="15"/>
        <v>0</v>
      </c>
    </row>
    <row r="455" spans="1:5" x14ac:dyDescent="0.25">
      <c r="A455" s="1">
        <v>45180</v>
      </c>
      <c r="B455">
        <v>158</v>
      </c>
      <c r="C455">
        <v>2.1986570869544226</v>
      </c>
      <c r="D455">
        <f t="shared" si="14"/>
        <v>251.70799999999997</v>
      </c>
      <c r="E455">
        <f t="shared" si="15"/>
        <v>0</v>
      </c>
    </row>
    <row r="456" spans="1:5" x14ac:dyDescent="0.25">
      <c r="A456" s="1">
        <v>45187</v>
      </c>
      <c r="B456">
        <v>147</v>
      </c>
      <c r="C456">
        <v>2.167317334748176</v>
      </c>
      <c r="D456">
        <f t="shared" si="14"/>
        <v>251.70799999999997</v>
      </c>
      <c r="E456">
        <f t="shared" si="15"/>
        <v>0</v>
      </c>
    </row>
    <row r="457" spans="1:5" x14ac:dyDescent="0.25">
      <c r="A457" s="1">
        <v>45194</v>
      </c>
      <c r="B457">
        <v>165</v>
      </c>
      <c r="C457">
        <v>2.2174839442139063</v>
      </c>
      <c r="D457">
        <f t="shared" si="14"/>
        <v>251.70799999999997</v>
      </c>
      <c r="E457">
        <f t="shared" si="15"/>
        <v>0</v>
      </c>
    </row>
    <row r="458" spans="1:5" x14ac:dyDescent="0.25">
      <c r="A458" s="1">
        <v>45201</v>
      </c>
      <c r="B458">
        <v>175</v>
      </c>
      <c r="C458">
        <v>2.2430380486862944</v>
      </c>
      <c r="D458">
        <f t="shared" si="14"/>
        <v>251.70799999999997</v>
      </c>
      <c r="E458">
        <f t="shared" si="15"/>
        <v>0</v>
      </c>
    </row>
    <row r="459" spans="1:5" x14ac:dyDescent="0.25">
      <c r="A459" s="1">
        <v>45208</v>
      </c>
      <c r="B459">
        <v>155</v>
      </c>
      <c r="C459">
        <v>2.1903316981702914</v>
      </c>
      <c r="D459">
        <f t="shared" si="14"/>
        <v>251.70799999999997</v>
      </c>
      <c r="E459">
        <f t="shared" si="15"/>
        <v>0</v>
      </c>
    </row>
    <row r="460" spans="1:5" x14ac:dyDescent="0.25">
      <c r="A460" s="1">
        <v>45215</v>
      </c>
      <c r="B460">
        <v>175</v>
      </c>
      <c r="C460">
        <v>2.2430380486862944</v>
      </c>
      <c r="D460">
        <f t="shared" si="14"/>
        <v>251.70799999999997</v>
      </c>
      <c r="E460">
        <f t="shared" si="15"/>
        <v>0</v>
      </c>
    </row>
    <row r="461" spans="1:5" x14ac:dyDescent="0.25">
      <c r="A461" s="1">
        <v>45222</v>
      </c>
      <c r="B461">
        <v>176</v>
      </c>
      <c r="C461">
        <v>2.2455126678141499</v>
      </c>
      <c r="D461">
        <f t="shared" si="14"/>
        <v>251.70799999999997</v>
      </c>
      <c r="E461">
        <f t="shared" si="15"/>
        <v>0</v>
      </c>
    </row>
    <row r="462" spans="1:5" x14ac:dyDescent="0.25">
      <c r="A462" s="1">
        <v>45229</v>
      </c>
      <c r="B462">
        <v>159</v>
      </c>
      <c r="C462">
        <v>2.2013971243204513</v>
      </c>
      <c r="D462">
        <f t="shared" si="14"/>
        <v>251.70799999999997</v>
      </c>
      <c r="E462">
        <f t="shared" si="15"/>
        <v>0</v>
      </c>
    </row>
    <row r="463" spans="1:5" x14ac:dyDescent="0.25">
      <c r="A463" s="1">
        <v>45236</v>
      </c>
      <c r="B463">
        <v>170</v>
      </c>
      <c r="C463">
        <v>2.2304489213782741</v>
      </c>
      <c r="D463">
        <f t="shared" si="14"/>
        <v>251.70799999999997</v>
      </c>
      <c r="E463">
        <f t="shared" si="15"/>
        <v>0</v>
      </c>
    </row>
    <row r="464" spans="1:5" x14ac:dyDescent="0.25">
      <c r="A464" s="1">
        <v>45243</v>
      </c>
      <c r="B464">
        <v>185</v>
      </c>
      <c r="C464">
        <v>2.2671717284030137</v>
      </c>
      <c r="D464">
        <f t="shared" si="14"/>
        <v>251.70799999999997</v>
      </c>
      <c r="E464">
        <f t="shared" si="15"/>
        <v>0</v>
      </c>
    </row>
    <row r="465" spans="1:5" x14ac:dyDescent="0.25">
      <c r="A465" s="1">
        <v>45250</v>
      </c>
      <c r="B465">
        <v>150</v>
      </c>
      <c r="C465">
        <v>2.1760912590556813</v>
      </c>
      <c r="D465">
        <f t="shared" si="14"/>
        <v>251.70799999999997</v>
      </c>
      <c r="E465">
        <f t="shared" si="15"/>
        <v>0</v>
      </c>
    </row>
    <row r="466" spans="1:5" x14ac:dyDescent="0.25">
      <c r="A466" s="1">
        <v>45257</v>
      </c>
      <c r="B466">
        <v>186</v>
      </c>
      <c r="C466">
        <v>2.2695129442179165</v>
      </c>
      <c r="D466">
        <f t="shared" si="14"/>
        <v>251.70799999999997</v>
      </c>
      <c r="E466">
        <f t="shared" si="15"/>
        <v>0</v>
      </c>
    </row>
    <row r="467" spans="1:5" x14ac:dyDescent="0.25">
      <c r="A467" s="1">
        <v>45264</v>
      </c>
      <c r="B467">
        <v>209</v>
      </c>
      <c r="C467">
        <v>2.3201462861110542</v>
      </c>
      <c r="D467">
        <f t="shared" si="14"/>
        <v>251.70799999999997</v>
      </c>
      <c r="E467">
        <f t="shared" si="15"/>
        <v>0</v>
      </c>
    </row>
    <row r="468" spans="1:5" x14ac:dyDescent="0.25">
      <c r="A468" s="1">
        <v>45271</v>
      </c>
      <c r="B468">
        <v>199</v>
      </c>
      <c r="C468">
        <v>2.2988530764097068</v>
      </c>
      <c r="D468">
        <f t="shared" si="14"/>
        <v>251.70799999999997</v>
      </c>
      <c r="E468">
        <f t="shared" si="15"/>
        <v>0</v>
      </c>
    </row>
    <row r="469" spans="1:5" x14ac:dyDescent="0.25">
      <c r="A469" s="1">
        <v>45278</v>
      </c>
      <c r="B469">
        <v>202</v>
      </c>
      <c r="C469">
        <v>2.3053513694466239</v>
      </c>
      <c r="D469">
        <f t="shared" si="14"/>
        <v>251.70799999999997</v>
      </c>
      <c r="E469">
        <f t="shared" si="15"/>
        <v>0</v>
      </c>
    </row>
    <row r="470" spans="1:5" x14ac:dyDescent="0.25">
      <c r="A470" s="1">
        <v>45285</v>
      </c>
      <c r="B470">
        <v>198</v>
      </c>
      <c r="C470">
        <v>2.2966651902615309</v>
      </c>
      <c r="D470">
        <f t="shared" si="14"/>
        <v>251.70799999999997</v>
      </c>
      <c r="E470">
        <f t="shared" si="15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0F2B-DEA9-4B84-A118-1B211572621B}">
  <dimension ref="A1:U470"/>
  <sheetViews>
    <sheetView tabSelected="1" topLeftCell="H1" workbookViewId="0">
      <selection activeCell="R3" sqref="R3"/>
    </sheetView>
  </sheetViews>
  <sheetFormatPr defaultRowHeight="15" x14ac:dyDescent="0.25"/>
  <cols>
    <col min="2" max="2" width="12.42578125" bestFit="1" customWidth="1"/>
    <col min="3" max="3" width="12.85546875" bestFit="1" customWidth="1"/>
    <col min="4" max="4" width="11.42578125" bestFit="1" customWidth="1"/>
    <col min="5" max="5" width="5.42578125" bestFit="1" customWidth="1"/>
    <col min="6" max="7" width="12.7109375" bestFit="1" customWidth="1"/>
    <col min="8" max="8" width="11.85546875" customWidth="1"/>
    <col min="9" max="9" width="12.140625" customWidth="1"/>
    <col min="10" max="10" width="17.85546875" bestFit="1" customWidth="1"/>
    <col min="11" max="11" width="12" bestFit="1" customWidth="1"/>
    <col min="12" max="12" width="20" bestFit="1" customWidth="1"/>
    <col min="18" max="18" width="20" bestFit="1" customWidth="1"/>
    <col min="19" max="19" width="15.85546875" bestFit="1" customWidth="1"/>
    <col min="20" max="20" width="20.85546875" bestFit="1" customWidth="1"/>
    <col min="21" max="21" width="28.28515625" customWidth="1"/>
  </cols>
  <sheetData>
    <row r="1" spans="1:21" x14ac:dyDescent="0.25">
      <c r="A1" s="3" t="s">
        <v>0</v>
      </c>
      <c r="B1" s="3" t="s">
        <v>1</v>
      </c>
      <c r="C1" s="3" t="s">
        <v>15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18</v>
      </c>
      <c r="N1" s="3" t="s">
        <v>25</v>
      </c>
      <c r="R1" s="3" t="s">
        <v>16</v>
      </c>
      <c r="S1" s="3" t="s">
        <v>17</v>
      </c>
      <c r="T1" s="3" t="s">
        <v>19</v>
      </c>
      <c r="U1" s="3" t="s">
        <v>30</v>
      </c>
    </row>
    <row r="2" spans="1:21" x14ac:dyDescent="0.25">
      <c r="A2" s="1">
        <v>42009</v>
      </c>
      <c r="B2">
        <v>232</v>
      </c>
      <c r="C2" cm="1">
        <f t="array" ref="C2:C470">LOG10(B2:B470)</f>
        <v>2.3654879848908998</v>
      </c>
      <c r="D2">
        <v>0</v>
      </c>
      <c r="E2">
        <v>1</v>
      </c>
      <c r="F2">
        <f>SIN(2*PI()*E2/52)</f>
        <v>0.12053668025532305</v>
      </c>
      <c r="G2">
        <f>COS(2*PI()*E2/52)</f>
        <v>0.99270887409805397</v>
      </c>
      <c r="H2">
        <f>$P$2+$N$2*F2+$O$2*G2</f>
        <v>2.2571629630275569</v>
      </c>
      <c r="I2">
        <f>C2-H2</f>
        <v>0.10832502186334292</v>
      </c>
      <c r="J2">
        <f>IF(D2,"",I2)</f>
        <v>0.10832502186334292</v>
      </c>
      <c r="K2">
        <f>H2+$S$2</f>
        <v>2.3547197847257957</v>
      </c>
      <c r="L2">
        <f>IF(C2-K2&gt;0,10^C2-10^K2,0)</f>
        <v>5.6816413811033044</v>
      </c>
      <c r="N2" cm="1">
        <f t="array" ref="N2:P2">_xlfn.LET(
    _xlpm.y, _xlfn._xlws.FILTER(C2:C470, D2:D470=0),
    _xlpm.xsin, _xlfn._xlws.FILTER(F2:F470, D2:D470=0),
    _xlpm.xcos, _xlfn._xlws.FILTER(G2:G470, D2:D470=0),
    LINEST(_xlpm.y, _xlfn.HSTACK(_xlpm.xsin, _xlpm.xcos), TRUE, FALSE)
)</f>
        <v>3.6822102893876558E-2</v>
      </c>
      <c r="O2">
        <v>2.1473634035298277E-2</v>
      </c>
      <c r="P2">
        <v>2.2314074819187342</v>
      </c>
      <c r="R2">
        <v>97.7</v>
      </c>
      <c r="S2">
        <f>_xlfn.PERCENTILE.INC(J2:J470, R2/100)</f>
        <v>9.7556821698238969E-2</v>
      </c>
      <c r="T2">
        <f>SUM(L2:L470)</f>
        <v>1529.8353369498518</v>
      </c>
      <c r="U2" cm="1">
        <f t="array" ref="U2">SUM(IF(D2:D470,L2:L470,0))</f>
        <v>1449.5749912430219</v>
      </c>
    </row>
    <row r="3" spans="1:21" x14ac:dyDescent="0.25">
      <c r="A3" s="1">
        <v>42016</v>
      </c>
      <c r="B3">
        <v>194</v>
      </c>
      <c r="C3">
        <v>2.287801729930226</v>
      </c>
      <c r="D3">
        <v>0</v>
      </c>
      <c r="E3">
        <v>2</v>
      </c>
      <c r="F3">
        <f t="shared" ref="F3:F66" si="0">SIN(2*PI()*E3/52)</f>
        <v>0.23931566428755774</v>
      </c>
      <c r="G3">
        <f t="shared" ref="G3:G66" si="1">COS(2*PI()*E3/52)</f>
        <v>0.97094181742605201</v>
      </c>
      <c r="H3">
        <f t="shared" ref="H3:H66" si="2">$P$2+$N$2*F3+$O$2*G3</f>
        <v>2.2610692371902217</v>
      </c>
      <c r="I3">
        <f>C3-H3</f>
        <v>2.6732492740004332E-2</v>
      </c>
      <c r="J3">
        <f t="shared" ref="J3:J66" si="3">IF(D3,"",I3)</f>
        <v>2.6732492740004332E-2</v>
      </c>
      <c r="K3">
        <f t="shared" ref="K3:K66" si="4">H3+$S$2</f>
        <v>2.3586260588884604</v>
      </c>
      <c r="L3">
        <f>IF(C3-K3&gt;0,10^C3-10^K3,0)</f>
        <v>0</v>
      </c>
    </row>
    <row r="4" spans="1:21" x14ac:dyDescent="0.25">
      <c r="A4" s="1">
        <v>42023</v>
      </c>
      <c r="B4">
        <v>226</v>
      </c>
      <c r="C4">
        <v>2.3541084391474008</v>
      </c>
      <c r="D4">
        <v>0</v>
      </c>
      <c r="E4">
        <v>3</v>
      </c>
      <c r="F4">
        <f t="shared" si="0"/>
        <v>0.35460488704253562</v>
      </c>
      <c r="G4">
        <f t="shared" si="1"/>
        <v>0.93501624268541483</v>
      </c>
      <c r="H4">
        <f t="shared" si="2"/>
        <v>2.2645429761685718</v>
      </c>
      <c r="I4">
        <f>C4-H4</f>
        <v>8.9565462978828947E-2</v>
      </c>
      <c r="J4">
        <f t="shared" si="3"/>
        <v>8.9565462978828947E-2</v>
      </c>
      <c r="K4">
        <f t="shared" si="4"/>
        <v>2.3620997978668106</v>
      </c>
      <c r="L4">
        <f t="shared" ref="L3:L66" si="5">IF(C4-K4&gt;0,10^C4-10^K4,0)</f>
        <v>0</v>
      </c>
    </row>
    <row r="5" spans="1:21" x14ac:dyDescent="0.25">
      <c r="A5" s="1">
        <v>42030</v>
      </c>
      <c r="B5">
        <v>211</v>
      </c>
      <c r="C5">
        <v>2.3242824552976926</v>
      </c>
      <c r="D5">
        <v>0</v>
      </c>
      <c r="E5">
        <v>4</v>
      </c>
      <c r="F5">
        <f t="shared" si="0"/>
        <v>0.46472317204376851</v>
      </c>
      <c r="G5">
        <f t="shared" si="1"/>
        <v>0.88545602565320991</v>
      </c>
      <c r="H5">
        <f t="shared" si="2"/>
        <v>2.2675335250261255</v>
      </c>
      <c r="I5">
        <f>C5-H5</f>
        <v>5.6748930271567133E-2</v>
      </c>
      <c r="J5">
        <f t="shared" si="3"/>
        <v>5.6748930271567133E-2</v>
      </c>
      <c r="K5">
        <f t="shared" si="4"/>
        <v>2.3650903467243642</v>
      </c>
      <c r="L5">
        <f t="shared" si="5"/>
        <v>0</v>
      </c>
    </row>
    <row r="6" spans="1:21" x14ac:dyDescent="0.25">
      <c r="A6" s="1">
        <v>42037</v>
      </c>
      <c r="B6">
        <v>243</v>
      </c>
      <c r="C6">
        <v>2.3856062735983121</v>
      </c>
      <c r="D6">
        <v>0</v>
      </c>
      <c r="E6">
        <v>5</v>
      </c>
      <c r="F6">
        <f t="shared" si="0"/>
        <v>0.56806474673115581</v>
      </c>
      <c r="G6">
        <f t="shared" si="1"/>
        <v>0.82298386589365635</v>
      </c>
      <c r="H6">
        <f t="shared" si="2"/>
        <v>2.2699972748264079</v>
      </c>
      <c r="I6">
        <f>C6-H6</f>
        <v>0.11560899877190423</v>
      </c>
      <c r="J6">
        <f t="shared" si="3"/>
        <v>0.11560899877190423</v>
      </c>
      <c r="K6">
        <f t="shared" si="4"/>
        <v>2.3675540965246467</v>
      </c>
      <c r="L6">
        <f t="shared" si="5"/>
        <v>9.8936541220829497</v>
      </c>
    </row>
    <row r="7" spans="1:21" x14ac:dyDescent="0.25">
      <c r="A7" s="1">
        <v>42044</v>
      </c>
      <c r="B7">
        <v>241</v>
      </c>
      <c r="C7">
        <v>2.3820170425748683</v>
      </c>
      <c r="D7">
        <v>0</v>
      </c>
      <c r="E7">
        <v>6</v>
      </c>
      <c r="F7">
        <f t="shared" si="0"/>
        <v>0.66312265824079519</v>
      </c>
      <c r="G7">
        <f t="shared" si="1"/>
        <v>0.74851074817110108</v>
      </c>
      <c r="H7">
        <f t="shared" si="2"/>
        <v>2.2718982985494516</v>
      </c>
      <c r="I7">
        <f>C7-H7</f>
        <v>0.11011874402541677</v>
      </c>
      <c r="J7">
        <f t="shared" si="3"/>
        <v>0.11011874402541677</v>
      </c>
      <c r="K7">
        <f t="shared" si="4"/>
        <v>2.3694551202476903</v>
      </c>
      <c r="L7">
        <f t="shared" si="5"/>
        <v>6.8710484900101676</v>
      </c>
    </row>
    <row r="8" spans="1:21" x14ac:dyDescent="0.25">
      <c r="A8" s="1">
        <v>42051</v>
      </c>
      <c r="B8">
        <v>228</v>
      </c>
      <c r="C8">
        <v>2.357934847000454</v>
      </c>
      <c r="D8">
        <v>0</v>
      </c>
      <c r="E8">
        <v>7</v>
      </c>
      <c r="F8">
        <f t="shared" si="0"/>
        <v>0.74851074817110108</v>
      </c>
      <c r="G8">
        <f t="shared" si="1"/>
        <v>0.6631226582407953</v>
      </c>
      <c r="H8">
        <f t="shared" si="2"/>
        <v>2.2732088749886397</v>
      </c>
      <c r="I8">
        <f>C8-H8</f>
        <v>8.472597201181431E-2</v>
      </c>
      <c r="J8">
        <f t="shared" si="3"/>
        <v>8.472597201181431E-2</v>
      </c>
      <c r="K8">
        <f t="shared" si="4"/>
        <v>2.3707656966868784</v>
      </c>
      <c r="L8">
        <f t="shared" si="5"/>
        <v>0</v>
      </c>
    </row>
    <row r="9" spans="1:21" x14ac:dyDescent="0.25">
      <c r="A9" s="1">
        <v>42058</v>
      </c>
      <c r="B9">
        <v>235</v>
      </c>
      <c r="C9">
        <v>2.3710678622717363</v>
      </c>
      <c r="D9">
        <v>0</v>
      </c>
      <c r="E9">
        <v>8</v>
      </c>
      <c r="F9">
        <f t="shared" si="0"/>
        <v>0.82298386589365635</v>
      </c>
      <c r="G9">
        <f t="shared" si="1"/>
        <v>0.56806474673115592</v>
      </c>
      <c r="H9">
        <f t="shared" si="2"/>
        <v>2.2739098929883297</v>
      </c>
      <c r="I9">
        <f>C9-H9</f>
        <v>9.7157969283406587E-2</v>
      </c>
      <c r="J9">
        <f t="shared" si="3"/>
        <v>9.7157969283406587E-2</v>
      </c>
      <c r="K9">
        <f t="shared" si="4"/>
        <v>2.3714667146865684</v>
      </c>
      <c r="L9">
        <f t="shared" si="5"/>
        <v>0</v>
      </c>
    </row>
    <row r="10" spans="1:21" x14ac:dyDescent="0.25">
      <c r="A10" s="1">
        <v>42065</v>
      </c>
      <c r="B10">
        <v>224</v>
      </c>
      <c r="C10">
        <v>2.3502480183341627</v>
      </c>
      <c r="D10">
        <v>0</v>
      </c>
      <c r="E10">
        <v>9</v>
      </c>
      <c r="F10">
        <f t="shared" si="0"/>
        <v>0.88545602565320991</v>
      </c>
      <c r="G10">
        <f t="shared" si="1"/>
        <v>0.46472317204376862</v>
      </c>
      <c r="H10">
        <f t="shared" si="2"/>
        <v>2.2739911301275306</v>
      </c>
      <c r="I10">
        <f>C10-H10</f>
        <v>7.6256888206632123E-2</v>
      </c>
      <c r="J10">
        <f t="shared" si="3"/>
        <v>7.6256888206632123E-2</v>
      </c>
      <c r="K10">
        <f t="shared" si="4"/>
        <v>2.3715479518257694</v>
      </c>
      <c r="L10">
        <f t="shared" si="5"/>
        <v>0</v>
      </c>
    </row>
    <row r="11" spans="1:21" x14ac:dyDescent="0.25">
      <c r="A11" s="1">
        <v>42072</v>
      </c>
      <c r="B11">
        <v>212</v>
      </c>
      <c r="C11">
        <v>2.3263358609287512</v>
      </c>
      <c r="D11">
        <v>0</v>
      </c>
      <c r="E11">
        <v>10</v>
      </c>
      <c r="F11">
        <f t="shared" si="0"/>
        <v>0.93501624268541483</v>
      </c>
      <c r="G11">
        <f t="shared" si="1"/>
        <v>0.35460488704253557</v>
      </c>
      <c r="H11">
        <f t="shared" si="2"/>
        <v>2.2734514017858221</v>
      </c>
      <c r="I11">
        <f>C11-H11</f>
        <v>5.2884459142929163E-2</v>
      </c>
      <c r="J11">
        <f t="shared" si="3"/>
        <v>5.2884459142929163E-2</v>
      </c>
      <c r="K11">
        <f t="shared" si="4"/>
        <v>2.3710082234840608</v>
      </c>
      <c r="L11">
        <f t="shared" si="5"/>
        <v>0</v>
      </c>
    </row>
    <row r="12" spans="1:21" x14ac:dyDescent="0.25">
      <c r="A12" s="1">
        <v>42079</v>
      </c>
      <c r="B12">
        <v>191</v>
      </c>
      <c r="C12">
        <v>2.2810333672477277</v>
      </c>
      <c r="D12">
        <v>0</v>
      </c>
      <c r="E12">
        <v>11</v>
      </c>
      <c r="F12">
        <f t="shared" si="0"/>
        <v>0.97094181742605201</v>
      </c>
      <c r="G12">
        <f t="shared" si="1"/>
        <v>0.23931566428755804</v>
      </c>
      <c r="H12">
        <f t="shared" si="2"/>
        <v>2.2722985784177894</v>
      </c>
      <c r="I12">
        <f>C12-H12</f>
        <v>8.7347888299382781E-3</v>
      </c>
      <c r="J12">
        <f t="shared" si="3"/>
        <v>8.7347888299382781E-3</v>
      </c>
      <c r="K12">
        <f t="shared" si="4"/>
        <v>2.3698554001160281</v>
      </c>
      <c r="L12">
        <f t="shared" si="5"/>
        <v>0</v>
      </c>
    </row>
    <row r="13" spans="1:21" x14ac:dyDescent="0.25">
      <c r="A13" s="1">
        <v>42086</v>
      </c>
      <c r="B13">
        <v>177</v>
      </c>
      <c r="C13">
        <v>2.2479732663618068</v>
      </c>
      <c r="D13">
        <v>0</v>
      </c>
      <c r="E13">
        <v>12</v>
      </c>
      <c r="F13">
        <f t="shared" si="0"/>
        <v>0.99270887409805397</v>
      </c>
      <c r="G13">
        <f t="shared" si="1"/>
        <v>0.12053668025532301</v>
      </c>
      <c r="H13">
        <f t="shared" si="2"/>
        <v>2.2705494707840699</v>
      </c>
      <c r="I13">
        <f>C13-H13</f>
        <v>-2.2576204422263046E-2</v>
      </c>
      <c r="J13">
        <f t="shared" si="3"/>
        <v>-2.2576204422263046E-2</v>
      </c>
      <c r="K13">
        <f t="shared" si="4"/>
        <v>2.3681062924823086</v>
      </c>
      <c r="L13">
        <f t="shared" si="5"/>
        <v>0</v>
      </c>
    </row>
    <row r="14" spans="1:21" x14ac:dyDescent="0.25">
      <c r="A14" s="1">
        <v>42093</v>
      </c>
      <c r="B14">
        <v>200</v>
      </c>
      <c r="C14">
        <v>2.3010299956639813</v>
      </c>
      <c r="D14">
        <v>0</v>
      </c>
      <c r="E14">
        <v>13</v>
      </c>
      <c r="F14">
        <f t="shared" si="0"/>
        <v>1</v>
      </c>
      <c r="G14">
        <f t="shared" si="1"/>
        <v>-1.6078718217960031E-16</v>
      </c>
      <c r="H14">
        <f t="shared" si="2"/>
        <v>2.2682295848126106</v>
      </c>
      <c r="I14">
        <f>C14-H14</f>
        <v>3.2800410851370643E-2</v>
      </c>
      <c r="J14">
        <f t="shared" si="3"/>
        <v>3.2800410851370643E-2</v>
      </c>
      <c r="K14">
        <f t="shared" si="4"/>
        <v>2.3657864065108494</v>
      </c>
      <c r="L14">
        <f t="shared" si="5"/>
        <v>0</v>
      </c>
    </row>
    <row r="15" spans="1:21" x14ac:dyDescent="0.25">
      <c r="A15" s="1">
        <v>42100</v>
      </c>
      <c r="B15">
        <v>170</v>
      </c>
      <c r="C15">
        <v>2.2304489213782741</v>
      </c>
      <c r="D15">
        <v>0</v>
      </c>
      <c r="E15">
        <v>14</v>
      </c>
      <c r="F15">
        <f t="shared" si="0"/>
        <v>0.99270887409805397</v>
      </c>
      <c r="G15">
        <f t="shared" si="1"/>
        <v>-0.12053668025532288</v>
      </c>
      <c r="H15">
        <f t="shared" si="2"/>
        <v>2.2653727496648046</v>
      </c>
      <c r="I15">
        <f>C15-H15</f>
        <v>-3.4923828286530512E-2</v>
      </c>
      <c r="J15">
        <f t="shared" si="3"/>
        <v>-3.4923828286530512E-2</v>
      </c>
      <c r="K15">
        <f t="shared" si="4"/>
        <v>2.3629295713630434</v>
      </c>
      <c r="L15">
        <f t="shared" si="5"/>
        <v>0</v>
      </c>
    </row>
    <row r="16" spans="1:21" x14ac:dyDescent="0.25">
      <c r="A16" s="1">
        <v>42107</v>
      </c>
      <c r="B16">
        <v>178</v>
      </c>
      <c r="C16">
        <v>2.2504200023088941</v>
      </c>
      <c r="D16">
        <v>0</v>
      </c>
      <c r="E16">
        <v>15</v>
      </c>
      <c r="F16">
        <f t="shared" si="0"/>
        <v>0.97094181742605212</v>
      </c>
      <c r="G16">
        <f t="shared" si="1"/>
        <v>-0.23931566428755749</v>
      </c>
      <c r="H16">
        <f t="shared" si="2"/>
        <v>2.2620206244301384</v>
      </c>
      <c r="I16">
        <f>C16-H16</f>
        <v>-1.1600622121244353E-2</v>
      </c>
      <c r="J16">
        <f t="shared" si="3"/>
        <v>-1.1600622121244353E-2</v>
      </c>
      <c r="K16">
        <f t="shared" si="4"/>
        <v>2.3595774461283772</v>
      </c>
      <c r="L16">
        <f t="shared" si="5"/>
        <v>0</v>
      </c>
    </row>
    <row r="17" spans="1:12" x14ac:dyDescent="0.25">
      <c r="A17" s="1">
        <v>42114</v>
      </c>
      <c r="B17">
        <v>177</v>
      </c>
      <c r="C17">
        <v>2.2479732663618068</v>
      </c>
      <c r="D17">
        <v>0</v>
      </c>
      <c r="E17">
        <v>16</v>
      </c>
      <c r="F17">
        <f t="shared" si="0"/>
        <v>0.93501624268541483</v>
      </c>
      <c r="G17">
        <f t="shared" si="1"/>
        <v>-0.35460488704253545</v>
      </c>
      <c r="H17">
        <f t="shared" si="2"/>
        <v>2.2582220906428629</v>
      </c>
      <c r="I17">
        <f>C17-H17</f>
        <v>-1.0248824281056113E-2</v>
      </c>
      <c r="J17">
        <f t="shared" si="3"/>
        <v>-1.0248824281056113E-2</v>
      </c>
      <c r="K17">
        <f t="shared" si="4"/>
        <v>2.3557789123411017</v>
      </c>
      <c r="L17">
        <f t="shared" si="5"/>
        <v>0</v>
      </c>
    </row>
    <row r="18" spans="1:12" x14ac:dyDescent="0.25">
      <c r="A18" s="1">
        <v>42121</v>
      </c>
      <c r="B18">
        <v>167</v>
      </c>
      <c r="C18">
        <v>2.2227164711475833</v>
      </c>
      <c r="D18">
        <v>0</v>
      </c>
      <c r="E18">
        <v>17</v>
      </c>
      <c r="F18">
        <f t="shared" si="0"/>
        <v>0.88545602565320991</v>
      </c>
      <c r="G18">
        <f t="shared" si="1"/>
        <v>-0.46472317204376851</v>
      </c>
      <c r="H18">
        <f t="shared" si="2"/>
        <v>2.2540325394791489</v>
      </c>
      <c r="I18">
        <f>C18-H18</f>
        <v>-3.1316068331565639E-2</v>
      </c>
      <c r="J18">
        <f t="shared" si="3"/>
        <v>-3.1316068331565639E-2</v>
      </c>
      <c r="K18">
        <f t="shared" si="4"/>
        <v>2.3515893611773877</v>
      </c>
      <c r="L18">
        <f t="shared" si="5"/>
        <v>0</v>
      </c>
    </row>
    <row r="19" spans="1:12" x14ac:dyDescent="0.25">
      <c r="A19" s="1">
        <v>42128</v>
      </c>
      <c r="B19">
        <v>179</v>
      </c>
      <c r="C19">
        <v>2.2528530309798933</v>
      </c>
      <c r="D19">
        <v>0</v>
      </c>
      <c r="E19">
        <v>18</v>
      </c>
      <c r="F19">
        <f t="shared" si="0"/>
        <v>0.82298386589365646</v>
      </c>
      <c r="G19">
        <f t="shared" si="1"/>
        <v>-0.5680647467311557</v>
      </c>
      <c r="H19">
        <f t="shared" si="2"/>
        <v>2.2495130640290113</v>
      </c>
      <c r="I19">
        <f>C19-H19</f>
        <v>3.3399669508820118E-3</v>
      </c>
      <c r="J19">
        <f t="shared" si="3"/>
        <v>3.3399669508820118E-3</v>
      </c>
      <c r="K19">
        <f t="shared" si="4"/>
        <v>2.3470698857272501</v>
      </c>
      <c r="L19">
        <f t="shared" si="5"/>
        <v>0</v>
      </c>
    </row>
    <row r="20" spans="1:12" x14ac:dyDescent="0.25">
      <c r="A20" s="1">
        <v>42135</v>
      </c>
      <c r="B20">
        <v>147</v>
      </c>
      <c r="C20">
        <v>2.167317334748176</v>
      </c>
      <c r="D20">
        <v>0</v>
      </c>
      <c r="E20">
        <v>19</v>
      </c>
      <c r="F20">
        <f t="shared" si="0"/>
        <v>0.7485107481711013</v>
      </c>
      <c r="G20">
        <f t="shared" si="1"/>
        <v>-0.66312265824079497</v>
      </c>
      <c r="H20">
        <f t="shared" si="2"/>
        <v>2.2447295684214863</v>
      </c>
      <c r="I20">
        <f>C20-H20</f>
        <v>-7.7412233673310293E-2</v>
      </c>
      <c r="J20">
        <f t="shared" si="3"/>
        <v>-7.7412233673310293E-2</v>
      </c>
      <c r="K20">
        <f t="shared" si="4"/>
        <v>2.3422863901197251</v>
      </c>
      <c r="L20">
        <f t="shared" si="5"/>
        <v>0</v>
      </c>
    </row>
    <row r="21" spans="1:12" x14ac:dyDescent="0.25">
      <c r="A21" s="1">
        <v>42142</v>
      </c>
      <c r="B21">
        <v>155</v>
      </c>
      <c r="C21">
        <v>2.1903316981702914</v>
      </c>
      <c r="D21">
        <v>0</v>
      </c>
      <c r="E21">
        <v>20</v>
      </c>
      <c r="F21">
        <f t="shared" si="0"/>
        <v>0.66312265824079519</v>
      </c>
      <c r="G21">
        <f t="shared" si="1"/>
        <v>-0.74851074817110119</v>
      </c>
      <c r="H21">
        <f t="shared" si="2"/>
        <v>2.2397518067940241</v>
      </c>
      <c r="I21">
        <f>C21-H21</f>
        <v>-4.9420108623732695E-2</v>
      </c>
      <c r="J21">
        <f t="shared" si="3"/>
        <v>-4.9420108623732695E-2</v>
      </c>
      <c r="K21">
        <f t="shared" si="4"/>
        <v>2.3373086284922628</v>
      </c>
      <c r="L21">
        <f t="shared" si="5"/>
        <v>0</v>
      </c>
    </row>
    <row r="22" spans="1:12" x14ac:dyDescent="0.25">
      <c r="A22" s="1">
        <v>42149</v>
      </c>
      <c r="B22">
        <v>171</v>
      </c>
      <c r="C22">
        <v>2.2329961103921536</v>
      </c>
      <c r="D22">
        <v>0</v>
      </c>
      <c r="E22">
        <v>21</v>
      </c>
      <c r="F22">
        <f t="shared" si="0"/>
        <v>0.56806474673115581</v>
      </c>
      <c r="G22">
        <f t="shared" si="1"/>
        <v>-0.82298386589365635</v>
      </c>
      <c r="H22">
        <f t="shared" si="2"/>
        <v>2.2346523661200974</v>
      </c>
      <c r="I22">
        <f>C22-H22</f>
        <v>-1.6562557279438117E-3</v>
      </c>
      <c r="J22">
        <f t="shared" si="3"/>
        <v>-1.6562557279438117E-3</v>
      </c>
      <c r="K22">
        <f t="shared" si="4"/>
        <v>2.3322091878183362</v>
      </c>
      <c r="L22">
        <f t="shared" si="5"/>
        <v>0</v>
      </c>
    </row>
    <row r="23" spans="1:12" x14ac:dyDescent="0.25">
      <c r="A23" s="1">
        <v>42156</v>
      </c>
      <c r="B23">
        <v>153</v>
      </c>
      <c r="C23">
        <v>2.1846914308175989</v>
      </c>
      <c r="D23">
        <v>0</v>
      </c>
      <c r="E23">
        <v>22</v>
      </c>
      <c r="F23">
        <f t="shared" si="0"/>
        <v>0.46472317204376906</v>
      </c>
      <c r="G23">
        <f t="shared" si="1"/>
        <v>-0.88545602565320958</v>
      </c>
      <c r="H23">
        <f t="shared" si="2"/>
        <v>2.2295056077276718</v>
      </c>
      <c r="I23">
        <f>C23-H23</f>
        <v>-4.4814176910072945E-2</v>
      </c>
      <c r="J23">
        <f t="shared" si="3"/>
        <v>-4.4814176910072945E-2</v>
      </c>
      <c r="K23">
        <f t="shared" si="4"/>
        <v>2.3270624294259106</v>
      </c>
      <c r="L23">
        <f t="shared" si="5"/>
        <v>0</v>
      </c>
    </row>
    <row r="24" spans="1:12" x14ac:dyDescent="0.25">
      <c r="A24" s="1">
        <v>42163</v>
      </c>
      <c r="B24">
        <v>170</v>
      </c>
      <c r="C24">
        <v>2.2304489213782741</v>
      </c>
      <c r="D24">
        <v>0</v>
      </c>
      <c r="E24">
        <v>23</v>
      </c>
      <c r="F24">
        <f t="shared" si="0"/>
        <v>0.35460488704253584</v>
      </c>
      <c r="G24">
        <f t="shared" si="1"/>
        <v>-0.93501624268541472</v>
      </c>
      <c r="H24">
        <f t="shared" si="2"/>
        <v>2.2243865829435996</v>
      </c>
      <c r="I24">
        <f>C24-H24</f>
        <v>6.062338434674519E-3</v>
      </c>
      <c r="J24">
        <f t="shared" si="3"/>
        <v>6.062338434674519E-3</v>
      </c>
      <c r="K24">
        <f t="shared" si="4"/>
        <v>2.3219434046418383</v>
      </c>
      <c r="L24">
        <f t="shared" si="5"/>
        <v>0</v>
      </c>
    </row>
    <row r="25" spans="1:12" x14ac:dyDescent="0.25">
      <c r="A25" s="1">
        <v>42170</v>
      </c>
      <c r="B25">
        <v>163</v>
      </c>
      <c r="C25">
        <v>2.2121876044039577</v>
      </c>
      <c r="D25">
        <v>0</v>
      </c>
      <c r="E25">
        <v>24</v>
      </c>
      <c r="F25">
        <f t="shared" si="0"/>
        <v>0.23931566428755768</v>
      </c>
      <c r="G25">
        <f t="shared" si="1"/>
        <v>-0.97094181742605201</v>
      </c>
      <c r="H25">
        <f t="shared" si="2"/>
        <v>2.2193699386762726</v>
      </c>
      <c r="I25">
        <f>C25-H25</f>
        <v>-7.1823342723149608E-3</v>
      </c>
      <c r="J25">
        <f t="shared" si="3"/>
        <v>-7.1823342723149608E-3</v>
      </c>
      <c r="K25">
        <f t="shared" si="4"/>
        <v>2.3169267603745114</v>
      </c>
      <c r="L25">
        <f t="shared" si="5"/>
        <v>0</v>
      </c>
    </row>
    <row r="26" spans="1:12" x14ac:dyDescent="0.25">
      <c r="A26" s="1">
        <v>42177</v>
      </c>
      <c r="B26">
        <v>152</v>
      </c>
      <c r="C26">
        <v>2.1818435879447726</v>
      </c>
      <c r="D26">
        <v>0</v>
      </c>
      <c r="E26">
        <v>25</v>
      </c>
      <c r="F26">
        <f t="shared" si="0"/>
        <v>0.12053668025532308</v>
      </c>
      <c r="G26">
        <f t="shared" si="1"/>
        <v>-0.99270887409805397</v>
      </c>
      <c r="H26">
        <f t="shared" si="2"/>
        <v>2.2145288288956073</v>
      </c>
      <c r="I26">
        <f>C26-H26</f>
        <v>-3.2685240950834693E-2</v>
      </c>
      <c r="J26">
        <f t="shared" si="3"/>
        <v>-3.2685240950834693E-2</v>
      </c>
      <c r="K26">
        <f t="shared" si="4"/>
        <v>2.3120856505938461</v>
      </c>
      <c r="L26">
        <f t="shared" si="5"/>
        <v>0</v>
      </c>
    </row>
    <row r="27" spans="1:12" x14ac:dyDescent="0.25">
      <c r="A27" s="1">
        <v>42184</v>
      </c>
      <c r="B27">
        <v>194</v>
      </c>
      <c r="C27">
        <v>2.287801729930226</v>
      </c>
      <c r="D27">
        <v>0</v>
      </c>
      <c r="E27">
        <v>26</v>
      </c>
      <c r="F27">
        <f t="shared" si="0"/>
        <v>-3.2157436435920062E-16</v>
      </c>
      <c r="G27">
        <f t="shared" si="1"/>
        <v>-1</v>
      </c>
      <c r="H27">
        <f t="shared" si="2"/>
        <v>2.2099338478834358</v>
      </c>
      <c r="I27">
        <f>C27-H27</f>
        <v>7.7867882046790182E-2</v>
      </c>
      <c r="J27">
        <f t="shared" si="3"/>
        <v>7.7867882046790182E-2</v>
      </c>
      <c r="K27">
        <f t="shared" si="4"/>
        <v>2.3074906695816746</v>
      </c>
      <c r="L27">
        <f t="shared" si="5"/>
        <v>0</v>
      </c>
    </row>
    <row r="28" spans="1:12" x14ac:dyDescent="0.25">
      <c r="A28" s="1">
        <v>42191</v>
      </c>
      <c r="B28">
        <v>184</v>
      </c>
      <c r="C28">
        <v>2.2648178230095364</v>
      </c>
      <c r="D28">
        <v>0</v>
      </c>
      <c r="E28">
        <v>27</v>
      </c>
      <c r="F28">
        <f t="shared" si="0"/>
        <v>-0.12053668025532283</v>
      </c>
      <c r="G28">
        <f t="shared" si="1"/>
        <v>-0.99270887409805397</v>
      </c>
      <c r="H28">
        <f t="shared" si="2"/>
        <v>2.2056520008099114</v>
      </c>
      <c r="I28">
        <f>C28-H28</f>
        <v>5.9165822199624962E-2</v>
      </c>
      <c r="J28">
        <f t="shared" si="3"/>
        <v>5.9165822199624962E-2</v>
      </c>
      <c r="K28">
        <f t="shared" si="4"/>
        <v>2.3032088225081502</v>
      </c>
      <c r="L28">
        <f t="shared" si="5"/>
        <v>0</v>
      </c>
    </row>
    <row r="29" spans="1:12" x14ac:dyDescent="0.25">
      <c r="A29" s="1">
        <v>42198</v>
      </c>
      <c r="B29">
        <v>145</v>
      </c>
      <c r="C29">
        <v>2.1613680022349748</v>
      </c>
      <c r="D29">
        <v>0</v>
      </c>
      <c r="E29">
        <v>28</v>
      </c>
      <c r="F29">
        <f t="shared" si="0"/>
        <v>-0.23931566428755743</v>
      </c>
      <c r="G29">
        <f t="shared" si="1"/>
        <v>-0.97094181742605212</v>
      </c>
      <c r="H29">
        <f t="shared" si="2"/>
        <v>2.2017457266472467</v>
      </c>
      <c r="I29">
        <f>C29-H29</f>
        <v>-4.0377724412271832E-2</v>
      </c>
      <c r="J29">
        <f t="shared" si="3"/>
        <v>-4.0377724412271832E-2</v>
      </c>
      <c r="K29">
        <f t="shared" si="4"/>
        <v>2.2993025483454854</v>
      </c>
      <c r="L29">
        <f t="shared" si="5"/>
        <v>0</v>
      </c>
    </row>
    <row r="30" spans="1:12" x14ac:dyDescent="0.25">
      <c r="A30" s="1">
        <v>42205</v>
      </c>
      <c r="B30">
        <v>145</v>
      </c>
      <c r="C30">
        <v>2.1613680022349748</v>
      </c>
      <c r="D30">
        <v>0</v>
      </c>
      <c r="E30">
        <v>29</v>
      </c>
      <c r="F30">
        <f t="shared" si="0"/>
        <v>-0.35460488704253562</v>
      </c>
      <c r="G30">
        <f t="shared" si="1"/>
        <v>-0.93501624268541483</v>
      </c>
      <c r="H30">
        <f t="shared" si="2"/>
        <v>2.1982719876688965</v>
      </c>
      <c r="I30">
        <f>C30-H30</f>
        <v>-3.6903985433921704E-2</v>
      </c>
      <c r="J30">
        <f t="shared" si="3"/>
        <v>-3.6903985433921704E-2</v>
      </c>
      <c r="K30">
        <f t="shared" si="4"/>
        <v>2.2958288093671353</v>
      </c>
      <c r="L30">
        <f t="shared" si="5"/>
        <v>0</v>
      </c>
    </row>
    <row r="31" spans="1:12" x14ac:dyDescent="0.25">
      <c r="A31" s="1">
        <v>42212</v>
      </c>
      <c r="B31">
        <v>166</v>
      </c>
      <c r="C31">
        <v>2.220108088040055</v>
      </c>
      <c r="D31">
        <v>0</v>
      </c>
      <c r="E31">
        <v>30</v>
      </c>
      <c r="F31">
        <f t="shared" si="0"/>
        <v>-0.46472317204376806</v>
      </c>
      <c r="G31">
        <f t="shared" si="1"/>
        <v>-0.88545602565321013</v>
      </c>
      <c r="H31">
        <f t="shared" si="2"/>
        <v>2.1952814388113429</v>
      </c>
      <c r="I31">
        <f>C31-H31</f>
        <v>2.4826649228712139E-2</v>
      </c>
      <c r="J31">
        <f t="shared" si="3"/>
        <v>2.4826649228712139E-2</v>
      </c>
      <c r="K31">
        <f t="shared" si="4"/>
        <v>2.2928382605095816</v>
      </c>
      <c r="L31">
        <f t="shared" si="5"/>
        <v>0</v>
      </c>
    </row>
    <row r="32" spans="1:12" x14ac:dyDescent="0.25">
      <c r="A32" s="1">
        <v>42219</v>
      </c>
      <c r="B32">
        <v>192</v>
      </c>
      <c r="C32">
        <v>2.2833012287035497</v>
      </c>
      <c r="D32">
        <v>0</v>
      </c>
      <c r="E32">
        <v>31</v>
      </c>
      <c r="F32">
        <f t="shared" si="0"/>
        <v>-0.56806474673115559</v>
      </c>
      <c r="G32">
        <f t="shared" si="1"/>
        <v>-0.82298386589365646</v>
      </c>
      <c r="H32">
        <f t="shared" si="2"/>
        <v>2.1928176890110604</v>
      </c>
      <c r="I32">
        <f>C32-H32</f>
        <v>9.0483539692489234E-2</v>
      </c>
      <c r="J32">
        <f t="shared" si="3"/>
        <v>9.0483539692489234E-2</v>
      </c>
      <c r="K32">
        <f t="shared" si="4"/>
        <v>2.2903745107092992</v>
      </c>
      <c r="L32">
        <f t="shared" si="5"/>
        <v>0</v>
      </c>
    </row>
    <row r="33" spans="1:12" x14ac:dyDescent="0.25">
      <c r="A33" s="1">
        <v>42226</v>
      </c>
      <c r="B33">
        <v>157</v>
      </c>
      <c r="C33">
        <v>2.1958996524092336</v>
      </c>
      <c r="D33">
        <v>0</v>
      </c>
      <c r="E33">
        <v>32</v>
      </c>
      <c r="F33">
        <f t="shared" si="0"/>
        <v>-0.66312265824079497</v>
      </c>
      <c r="G33">
        <f t="shared" si="1"/>
        <v>-0.7485107481711013</v>
      </c>
      <c r="H33">
        <f t="shared" si="2"/>
        <v>2.1909166652880168</v>
      </c>
      <c r="I33">
        <f>C33-H33</f>
        <v>4.9829871212168086E-3</v>
      </c>
      <c r="J33">
        <f t="shared" si="3"/>
        <v>4.9829871212168086E-3</v>
      </c>
      <c r="K33">
        <f t="shared" si="4"/>
        <v>2.2884734869862555</v>
      </c>
      <c r="L33">
        <f t="shared" si="5"/>
        <v>0</v>
      </c>
    </row>
    <row r="34" spans="1:12" x14ac:dyDescent="0.25">
      <c r="A34" s="1">
        <v>42233</v>
      </c>
      <c r="B34">
        <v>138</v>
      </c>
      <c r="C34">
        <v>2.1398790864012365</v>
      </c>
      <c r="D34">
        <v>0</v>
      </c>
      <c r="E34">
        <v>33</v>
      </c>
      <c r="F34">
        <f t="shared" si="0"/>
        <v>-0.74851074817110108</v>
      </c>
      <c r="G34">
        <f t="shared" si="1"/>
        <v>-0.66312265824079519</v>
      </c>
      <c r="H34">
        <f t="shared" si="2"/>
        <v>2.1896060888488287</v>
      </c>
      <c r="I34">
        <f>C34-H34</f>
        <v>-4.9727002447592206E-2</v>
      </c>
      <c r="J34">
        <f t="shared" si="3"/>
        <v>-4.9727002447592206E-2</v>
      </c>
      <c r="K34">
        <f t="shared" si="4"/>
        <v>2.2871629105470674</v>
      </c>
      <c r="L34">
        <f t="shared" si="5"/>
        <v>0</v>
      </c>
    </row>
    <row r="35" spans="1:12" x14ac:dyDescent="0.25">
      <c r="A35" s="1">
        <v>42240</v>
      </c>
      <c r="B35">
        <v>173</v>
      </c>
      <c r="C35">
        <v>2.2380461031287955</v>
      </c>
      <c r="D35">
        <v>0</v>
      </c>
      <c r="E35">
        <v>34</v>
      </c>
      <c r="F35">
        <f t="shared" si="0"/>
        <v>-0.82298386589365635</v>
      </c>
      <c r="G35">
        <f t="shared" si="1"/>
        <v>-0.56806474673115592</v>
      </c>
      <c r="H35">
        <f t="shared" si="2"/>
        <v>2.1889050708491387</v>
      </c>
      <c r="I35">
        <f>C35-H35</f>
        <v>4.9141032279656827E-2</v>
      </c>
      <c r="J35">
        <f t="shared" si="3"/>
        <v>4.9141032279656827E-2</v>
      </c>
      <c r="K35">
        <f t="shared" si="4"/>
        <v>2.2864618925473774</v>
      </c>
      <c r="L35">
        <f t="shared" si="5"/>
        <v>0</v>
      </c>
    </row>
    <row r="36" spans="1:12" x14ac:dyDescent="0.25">
      <c r="A36" s="1">
        <v>42247</v>
      </c>
      <c r="B36">
        <v>161</v>
      </c>
      <c r="C36">
        <v>2.2068258760318495</v>
      </c>
      <c r="D36">
        <v>0</v>
      </c>
      <c r="E36">
        <v>35</v>
      </c>
      <c r="F36">
        <f t="shared" si="0"/>
        <v>-0.88545602565320958</v>
      </c>
      <c r="G36">
        <f t="shared" si="1"/>
        <v>-0.46472317204376912</v>
      </c>
      <c r="H36">
        <f t="shared" si="2"/>
        <v>2.1888238337099377</v>
      </c>
      <c r="I36">
        <f>C36-H36</f>
        <v>1.8002042321911826E-2</v>
      </c>
      <c r="J36">
        <f t="shared" si="3"/>
        <v>1.8002042321911826E-2</v>
      </c>
      <c r="K36">
        <f t="shared" si="4"/>
        <v>2.2863806554081765</v>
      </c>
      <c r="L36">
        <f t="shared" si="5"/>
        <v>0</v>
      </c>
    </row>
    <row r="37" spans="1:12" x14ac:dyDescent="0.25">
      <c r="A37" s="1">
        <v>42254</v>
      </c>
      <c r="B37">
        <v>149</v>
      </c>
      <c r="C37">
        <v>2.173186268412274</v>
      </c>
      <c r="D37">
        <v>0</v>
      </c>
      <c r="E37">
        <v>36</v>
      </c>
      <c r="F37">
        <f t="shared" si="0"/>
        <v>-0.93501624268541472</v>
      </c>
      <c r="G37">
        <f t="shared" si="1"/>
        <v>-0.3546048870425359</v>
      </c>
      <c r="H37">
        <f t="shared" si="2"/>
        <v>2.1893635620516463</v>
      </c>
      <c r="I37">
        <f>C37-H37</f>
        <v>-1.6177293639372259E-2</v>
      </c>
      <c r="J37">
        <f t="shared" si="3"/>
        <v>-1.6177293639372259E-2</v>
      </c>
      <c r="K37">
        <f t="shared" si="4"/>
        <v>2.286920383749885</v>
      </c>
      <c r="L37">
        <f t="shared" si="5"/>
        <v>0</v>
      </c>
    </row>
    <row r="38" spans="1:12" x14ac:dyDescent="0.25">
      <c r="A38" s="1">
        <v>42261</v>
      </c>
      <c r="B38">
        <v>155</v>
      </c>
      <c r="C38">
        <v>2.1903316981702914</v>
      </c>
      <c r="D38">
        <v>0</v>
      </c>
      <c r="E38">
        <v>37</v>
      </c>
      <c r="F38">
        <f t="shared" si="0"/>
        <v>-0.97094181742605201</v>
      </c>
      <c r="G38">
        <f t="shared" si="1"/>
        <v>-0.23931566428755774</v>
      </c>
      <c r="H38">
        <f t="shared" si="2"/>
        <v>2.190516385419679</v>
      </c>
      <c r="I38">
        <f>C38-H38</f>
        <v>-1.8468724938758285E-4</v>
      </c>
      <c r="J38">
        <f t="shared" si="3"/>
        <v>-1.8468724938758285E-4</v>
      </c>
      <c r="K38">
        <f t="shared" si="4"/>
        <v>2.2880732071179177</v>
      </c>
      <c r="L38">
        <f t="shared" si="5"/>
        <v>0</v>
      </c>
    </row>
    <row r="39" spans="1:12" x14ac:dyDescent="0.25">
      <c r="A39" s="1">
        <v>42268</v>
      </c>
      <c r="B39">
        <v>160</v>
      </c>
      <c r="C39">
        <v>2.2041199826559246</v>
      </c>
      <c r="D39">
        <v>0</v>
      </c>
      <c r="E39">
        <v>38</v>
      </c>
      <c r="F39">
        <f t="shared" si="0"/>
        <v>-0.99270887409805397</v>
      </c>
      <c r="G39">
        <f t="shared" si="1"/>
        <v>-0.12053668025532357</v>
      </c>
      <c r="H39">
        <f t="shared" si="2"/>
        <v>2.1922654930533985</v>
      </c>
      <c r="I39">
        <f>C39-H39</f>
        <v>1.1854489602526108E-2</v>
      </c>
      <c r="J39">
        <f t="shared" si="3"/>
        <v>1.1854489602526108E-2</v>
      </c>
      <c r="K39">
        <f t="shared" si="4"/>
        <v>2.2898223147516372</v>
      </c>
      <c r="L39">
        <f t="shared" si="5"/>
        <v>0</v>
      </c>
    </row>
    <row r="40" spans="1:12" x14ac:dyDescent="0.25">
      <c r="A40" s="1">
        <v>42275</v>
      </c>
      <c r="B40">
        <v>176</v>
      </c>
      <c r="C40">
        <v>2.2455126678141499</v>
      </c>
      <c r="D40">
        <v>0</v>
      </c>
      <c r="E40">
        <v>39</v>
      </c>
      <c r="F40">
        <f t="shared" si="0"/>
        <v>-1</v>
      </c>
      <c r="G40">
        <f t="shared" si="1"/>
        <v>-1.83772268236293E-16</v>
      </c>
      <c r="H40">
        <f t="shared" si="2"/>
        <v>2.1945853790248577</v>
      </c>
      <c r="I40">
        <f>C40-H40</f>
        <v>5.0927288789292202E-2</v>
      </c>
      <c r="J40">
        <f t="shared" si="3"/>
        <v>5.0927288789292202E-2</v>
      </c>
      <c r="K40">
        <f t="shared" si="4"/>
        <v>2.2921422007230965</v>
      </c>
      <c r="L40">
        <f t="shared" si="5"/>
        <v>0</v>
      </c>
    </row>
    <row r="41" spans="1:12" x14ac:dyDescent="0.25">
      <c r="A41" s="1">
        <v>42282</v>
      </c>
      <c r="B41">
        <v>182</v>
      </c>
      <c r="C41">
        <v>2.2600713879850747</v>
      </c>
      <c r="D41">
        <v>0</v>
      </c>
      <c r="E41">
        <v>40</v>
      </c>
      <c r="F41">
        <f t="shared" si="0"/>
        <v>-0.99270887409805397</v>
      </c>
      <c r="G41">
        <f t="shared" si="1"/>
        <v>0.1205366802553232</v>
      </c>
      <c r="H41">
        <f t="shared" si="2"/>
        <v>2.1974422141726637</v>
      </c>
      <c r="I41">
        <f>C41-H41</f>
        <v>6.2629173812410954E-2</v>
      </c>
      <c r="J41">
        <f t="shared" si="3"/>
        <v>6.2629173812410954E-2</v>
      </c>
      <c r="K41">
        <f t="shared" si="4"/>
        <v>2.2949990358709025</v>
      </c>
      <c r="L41">
        <f t="shared" si="5"/>
        <v>0</v>
      </c>
    </row>
    <row r="42" spans="1:12" x14ac:dyDescent="0.25">
      <c r="A42" s="1">
        <v>42289</v>
      </c>
      <c r="B42">
        <v>166</v>
      </c>
      <c r="C42">
        <v>2.220108088040055</v>
      </c>
      <c r="D42">
        <v>0</v>
      </c>
      <c r="E42">
        <v>41</v>
      </c>
      <c r="F42">
        <f t="shared" si="0"/>
        <v>-0.97094181742605212</v>
      </c>
      <c r="G42">
        <f t="shared" si="1"/>
        <v>0.23931566428755738</v>
      </c>
      <c r="H42">
        <f t="shared" si="2"/>
        <v>2.2007943394073299</v>
      </c>
      <c r="I42">
        <f>C42-H42</f>
        <v>1.9313748632725058E-2</v>
      </c>
      <c r="J42">
        <f t="shared" si="3"/>
        <v>1.9313748632725058E-2</v>
      </c>
      <c r="K42">
        <f t="shared" si="4"/>
        <v>2.2983511611055687</v>
      </c>
      <c r="L42">
        <f t="shared" si="5"/>
        <v>0</v>
      </c>
    </row>
    <row r="43" spans="1:12" x14ac:dyDescent="0.25">
      <c r="A43" s="1">
        <v>42296</v>
      </c>
      <c r="B43">
        <v>178</v>
      </c>
      <c r="C43">
        <v>2.2504200023088941</v>
      </c>
      <c r="D43">
        <v>0</v>
      </c>
      <c r="E43">
        <v>42</v>
      </c>
      <c r="F43">
        <f t="shared" si="0"/>
        <v>-0.93501624268541483</v>
      </c>
      <c r="G43">
        <f t="shared" si="1"/>
        <v>0.35460488704253557</v>
      </c>
      <c r="H43">
        <f t="shared" si="2"/>
        <v>2.2045928731946054</v>
      </c>
      <c r="I43">
        <f>C43-H43</f>
        <v>4.5827129114288656E-2</v>
      </c>
      <c r="J43">
        <f t="shared" si="3"/>
        <v>4.5827129114288656E-2</v>
      </c>
      <c r="K43">
        <f t="shared" si="4"/>
        <v>2.3021496948928442</v>
      </c>
      <c r="L43">
        <f t="shared" si="5"/>
        <v>0</v>
      </c>
    </row>
    <row r="44" spans="1:12" x14ac:dyDescent="0.25">
      <c r="A44" s="1">
        <v>42303</v>
      </c>
      <c r="B44">
        <v>165</v>
      </c>
      <c r="C44">
        <v>2.2174839442139063</v>
      </c>
      <c r="D44">
        <v>0</v>
      </c>
      <c r="E44">
        <v>43</v>
      </c>
      <c r="F44">
        <f t="shared" si="0"/>
        <v>-0.88545602565321013</v>
      </c>
      <c r="G44">
        <f t="shared" si="1"/>
        <v>0.46472317204376801</v>
      </c>
      <c r="H44">
        <f t="shared" si="2"/>
        <v>2.2087824243583194</v>
      </c>
      <c r="I44">
        <f>C44-H44</f>
        <v>8.70151985558687E-3</v>
      </c>
      <c r="J44">
        <f t="shared" si="3"/>
        <v>8.70151985558687E-3</v>
      </c>
      <c r="K44">
        <f t="shared" si="4"/>
        <v>2.3063392460565582</v>
      </c>
      <c r="L44">
        <f t="shared" si="5"/>
        <v>0</v>
      </c>
    </row>
    <row r="45" spans="1:12" x14ac:dyDescent="0.25">
      <c r="A45" s="1">
        <v>42310</v>
      </c>
      <c r="B45">
        <v>163</v>
      </c>
      <c r="C45">
        <v>2.2121876044039577</v>
      </c>
      <c r="D45">
        <v>0</v>
      </c>
      <c r="E45">
        <v>44</v>
      </c>
      <c r="F45">
        <f t="shared" si="0"/>
        <v>-0.82298386589365702</v>
      </c>
      <c r="G45">
        <f t="shared" si="1"/>
        <v>0.56806474673115481</v>
      </c>
      <c r="H45">
        <f t="shared" si="2"/>
        <v>2.2133018998084566</v>
      </c>
      <c r="I45">
        <f>C45-H45</f>
        <v>-1.1142954044989217E-3</v>
      </c>
      <c r="J45">
        <f t="shared" si="3"/>
        <v>-1.1142954044989217E-3</v>
      </c>
      <c r="K45">
        <f t="shared" si="4"/>
        <v>2.3108587215066954</v>
      </c>
      <c r="L45">
        <f t="shared" si="5"/>
        <v>0</v>
      </c>
    </row>
    <row r="46" spans="1:12" x14ac:dyDescent="0.25">
      <c r="A46" s="1">
        <v>42317</v>
      </c>
      <c r="B46">
        <v>171</v>
      </c>
      <c r="C46">
        <v>2.2329961103921536</v>
      </c>
      <c r="D46">
        <v>0</v>
      </c>
      <c r="E46">
        <v>45</v>
      </c>
      <c r="F46">
        <f t="shared" si="0"/>
        <v>-0.74851074817110108</v>
      </c>
      <c r="G46">
        <f t="shared" si="1"/>
        <v>0.66312265824079519</v>
      </c>
      <c r="H46">
        <f t="shared" si="2"/>
        <v>2.2180853954159825</v>
      </c>
      <c r="I46">
        <f>C46-H46</f>
        <v>1.4910714976171136E-2</v>
      </c>
      <c r="J46">
        <f t="shared" si="3"/>
        <v>1.4910714976171136E-2</v>
      </c>
      <c r="K46">
        <f t="shared" si="4"/>
        <v>2.3156422171142212</v>
      </c>
      <c r="L46">
        <f t="shared" si="5"/>
        <v>0</v>
      </c>
    </row>
    <row r="47" spans="1:12" x14ac:dyDescent="0.25">
      <c r="A47" s="1">
        <v>42324</v>
      </c>
      <c r="B47">
        <v>194</v>
      </c>
      <c r="C47">
        <v>2.287801729930226</v>
      </c>
      <c r="D47">
        <v>0</v>
      </c>
      <c r="E47">
        <v>46</v>
      </c>
      <c r="F47">
        <f t="shared" si="0"/>
        <v>-0.66312265824079553</v>
      </c>
      <c r="G47">
        <f t="shared" si="1"/>
        <v>0.74851074817110075</v>
      </c>
      <c r="H47">
        <f t="shared" si="2"/>
        <v>2.2230631570434438</v>
      </c>
      <c r="I47">
        <f>C47-H47</f>
        <v>6.4738572886782197E-2</v>
      </c>
      <c r="J47">
        <f t="shared" si="3"/>
        <v>6.4738572886782197E-2</v>
      </c>
      <c r="K47">
        <f t="shared" si="4"/>
        <v>2.3206199787416826</v>
      </c>
      <c r="L47">
        <f t="shared" si="5"/>
        <v>0</v>
      </c>
    </row>
    <row r="48" spans="1:12" x14ac:dyDescent="0.25">
      <c r="A48" s="1">
        <v>42331</v>
      </c>
      <c r="B48">
        <v>176</v>
      </c>
      <c r="C48">
        <v>2.2455126678141499</v>
      </c>
      <c r="D48">
        <v>0</v>
      </c>
      <c r="E48">
        <v>47</v>
      </c>
      <c r="F48">
        <f t="shared" si="0"/>
        <v>-0.56806474673115592</v>
      </c>
      <c r="G48">
        <f t="shared" si="1"/>
        <v>0.82298386589365635</v>
      </c>
      <c r="H48">
        <f t="shared" si="2"/>
        <v>2.2281625977173709</v>
      </c>
      <c r="I48">
        <f>C48-H48</f>
        <v>1.7350070096779024E-2</v>
      </c>
      <c r="J48">
        <f t="shared" si="3"/>
        <v>1.7350070096779024E-2</v>
      </c>
      <c r="K48">
        <f t="shared" si="4"/>
        <v>2.3257194194156097</v>
      </c>
      <c r="L48">
        <f t="shared" si="5"/>
        <v>0</v>
      </c>
    </row>
    <row r="49" spans="1:12" x14ac:dyDescent="0.25">
      <c r="A49" s="1">
        <v>42338</v>
      </c>
      <c r="B49">
        <v>147</v>
      </c>
      <c r="C49">
        <v>2.167317334748176</v>
      </c>
      <c r="D49">
        <v>0</v>
      </c>
      <c r="E49">
        <v>48</v>
      </c>
      <c r="F49">
        <f t="shared" si="0"/>
        <v>-0.4647231720437684</v>
      </c>
      <c r="G49">
        <f t="shared" si="1"/>
        <v>0.88545602565321002</v>
      </c>
      <c r="H49">
        <f t="shared" si="2"/>
        <v>2.2333093561097965</v>
      </c>
      <c r="I49">
        <f>C49-H49</f>
        <v>-6.5992021361620523E-2</v>
      </c>
      <c r="J49">
        <f t="shared" si="3"/>
        <v>-6.5992021361620523E-2</v>
      </c>
      <c r="K49">
        <f t="shared" si="4"/>
        <v>2.3308661778080353</v>
      </c>
      <c r="L49">
        <f t="shared" si="5"/>
        <v>0</v>
      </c>
    </row>
    <row r="50" spans="1:12" x14ac:dyDescent="0.25">
      <c r="A50" s="1">
        <v>42345</v>
      </c>
      <c r="B50">
        <v>176</v>
      </c>
      <c r="C50">
        <v>2.2455126678141499</v>
      </c>
      <c r="D50">
        <v>0</v>
      </c>
      <c r="E50">
        <v>49</v>
      </c>
      <c r="F50">
        <f t="shared" si="0"/>
        <v>-0.35460488704253595</v>
      </c>
      <c r="G50">
        <f t="shared" si="1"/>
        <v>0.93501624268541472</v>
      </c>
      <c r="H50">
        <f t="shared" si="2"/>
        <v>2.2384283808938688</v>
      </c>
      <c r="I50">
        <f>C50-H50</f>
        <v>7.0842869202811798E-3</v>
      </c>
      <c r="J50">
        <f t="shared" si="3"/>
        <v>7.0842869202811798E-3</v>
      </c>
      <c r="K50">
        <f t="shared" si="4"/>
        <v>2.3359852025921075</v>
      </c>
      <c r="L50">
        <f t="shared" si="5"/>
        <v>0</v>
      </c>
    </row>
    <row r="51" spans="1:12" x14ac:dyDescent="0.25">
      <c r="A51" s="1">
        <v>42352</v>
      </c>
      <c r="B51">
        <v>156</v>
      </c>
      <c r="C51">
        <v>2.1931245983544616</v>
      </c>
      <c r="D51">
        <v>0</v>
      </c>
      <c r="E51">
        <v>50</v>
      </c>
      <c r="F51">
        <f t="shared" si="0"/>
        <v>-0.23931566428755779</v>
      </c>
      <c r="G51">
        <f t="shared" si="1"/>
        <v>0.97094181742605201</v>
      </c>
      <c r="H51">
        <f t="shared" si="2"/>
        <v>2.2434450251611957</v>
      </c>
      <c r="I51">
        <f>C51-H51</f>
        <v>-5.0320426806734098E-2</v>
      </c>
      <c r="J51">
        <f t="shared" si="3"/>
        <v>-5.0320426806734098E-2</v>
      </c>
      <c r="K51">
        <f t="shared" si="4"/>
        <v>2.3410018468594345</v>
      </c>
      <c r="L51">
        <f t="shared" si="5"/>
        <v>0</v>
      </c>
    </row>
    <row r="52" spans="1:12" x14ac:dyDescent="0.25">
      <c r="A52" s="1">
        <v>42359</v>
      </c>
      <c r="B52">
        <v>151</v>
      </c>
      <c r="C52">
        <v>2.1789769472931693</v>
      </c>
      <c r="D52">
        <v>0</v>
      </c>
      <c r="E52">
        <v>51</v>
      </c>
      <c r="F52">
        <f t="shared" si="0"/>
        <v>-0.12053668025532363</v>
      </c>
      <c r="G52">
        <f t="shared" si="1"/>
        <v>0.99270887409805397</v>
      </c>
      <c r="H52">
        <f t="shared" si="2"/>
        <v>2.248286134941861</v>
      </c>
      <c r="I52">
        <f>C52-H52</f>
        <v>-6.9309187648691761E-2</v>
      </c>
      <c r="J52">
        <f t="shared" si="3"/>
        <v>-6.9309187648691761E-2</v>
      </c>
      <c r="K52">
        <f t="shared" si="4"/>
        <v>2.3458429566400998</v>
      </c>
      <c r="L52">
        <f t="shared" si="5"/>
        <v>0</v>
      </c>
    </row>
    <row r="53" spans="1:12" x14ac:dyDescent="0.25">
      <c r="A53" s="1">
        <v>42366</v>
      </c>
      <c r="B53">
        <v>163</v>
      </c>
      <c r="C53">
        <v>2.2121876044039577</v>
      </c>
      <c r="D53">
        <v>0</v>
      </c>
      <c r="E53">
        <v>52</v>
      </c>
      <c r="F53">
        <f t="shared" si="0"/>
        <v>6.4314872871840123E-16</v>
      </c>
      <c r="G53">
        <f t="shared" si="1"/>
        <v>1</v>
      </c>
      <c r="H53">
        <f t="shared" si="2"/>
        <v>2.2528811159540325</v>
      </c>
      <c r="I53">
        <f>C53-H53</f>
        <v>-4.0693511550074835E-2</v>
      </c>
      <c r="J53">
        <f t="shared" si="3"/>
        <v>-4.0693511550074835E-2</v>
      </c>
      <c r="K53">
        <f t="shared" si="4"/>
        <v>2.3504379376522713</v>
      </c>
      <c r="L53">
        <f t="shared" si="5"/>
        <v>0</v>
      </c>
    </row>
    <row r="54" spans="1:12" x14ac:dyDescent="0.25">
      <c r="A54" s="1">
        <v>42373</v>
      </c>
      <c r="B54">
        <v>171</v>
      </c>
      <c r="C54">
        <v>2.2329961103921536</v>
      </c>
      <c r="D54">
        <v>0</v>
      </c>
      <c r="E54">
        <v>53</v>
      </c>
      <c r="F54">
        <f t="shared" si="0"/>
        <v>0.12053668025532314</v>
      </c>
      <c r="G54">
        <f t="shared" si="1"/>
        <v>0.99270887409805397</v>
      </c>
      <c r="H54">
        <f t="shared" si="2"/>
        <v>2.2571629630275569</v>
      </c>
      <c r="I54">
        <f>C54-H54</f>
        <v>-2.4166852635403302E-2</v>
      </c>
      <c r="J54">
        <f t="shared" si="3"/>
        <v>-2.4166852635403302E-2</v>
      </c>
      <c r="K54">
        <f t="shared" si="4"/>
        <v>2.3547197847257957</v>
      </c>
      <c r="L54">
        <f t="shared" si="5"/>
        <v>0</v>
      </c>
    </row>
    <row r="55" spans="1:12" x14ac:dyDescent="0.25">
      <c r="A55" s="1">
        <v>42380</v>
      </c>
      <c r="B55">
        <v>191</v>
      </c>
      <c r="C55">
        <v>2.2810333672477277</v>
      </c>
      <c r="D55">
        <v>0</v>
      </c>
      <c r="E55">
        <v>54</v>
      </c>
      <c r="F55">
        <f t="shared" si="0"/>
        <v>0.23931566428755732</v>
      </c>
      <c r="G55">
        <f t="shared" si="1"/>
        <v>0.97094181742605212</v>
      </c>
      <c r="H55">
        <f t="shared" si="2"/>
        <v>2.2610692371902217</v>
      </c>
      <c r="I55">
        <f>C55-H55</f>
        <v>1.9964130057505969E-2</v>
      </c>
      <c r="J55">
        <f t="shared" si="3"/>
        <v>1.9964130057505969E-2</v>
      </c>
      <c r="K55">
        <f t="shared" si="4"/>
        <v>2.3586260588884604</v>
      </c>
      <c r="L55">
        <f t="shared" si="5"/>
        <v>0</v>
      </c>
    </row>
    <row r="56" spans="1:12" x14ac:dyDescent="0.25">
      <c r="A56" s="1">
        <v>42387</v>
      </c>
      <c r="B56">
        <v>182</v>
      </c>
      <c r="C56">
        <v>2.2600713879850747</v>
      </c>
      <c r="D56">
        <v>0</v>
      </c>
      <c r="E56">
        <v>55</v>
      </c>
      <c r="F56">
        <f t="shared" si="0"/>
        <v>0.35460488704253551</v>
      </c>
      <c r="G56">
        <f t="shared" si="1"/>
        <v>0.93501624268541483</v>
      </c>
      <c r="H56">
        <f t="shared" si="2"/>
        <v>2.2645429761685718</v>
      </c>
      <c r="I56">
        <f>C56-H56</f>
        <v>-4.4715881834971327E-3</v>
      </c>
      <c r="J56">
        <f t="shared" si="3"/>
        <v>-4.4715881834971327E-3</v>
      </c>
      <c r="K56">
        <f t="shared" si="4"/>
        <v>2.3620997978668106</v>
      </c>
      <c r="L56">
        <f t="shared" si="5"/>
        <v>0</v>
      </c>
    </row>
    <row r="57" spans="1:12" x14ac:dyDescent="0.25">
      <c r="A57" s="1">
        <v>42394</v>
      </c>
      <c r="B57">
        <v>195</v>
      </c>
      <c r="C57">
        <v>2.2900346113625178</v>
      </c>
      <c r="D57">
        <v>0</v>
      </c>
      <c r="E57">
        <v>56</v>
      </c>
      <c r="F57">
        <f t="shared" si="0"/>
        <v>0.46472317204376795</v>
      </c>
      <c r="G57">
        <f t="shared" si="1"/>
        <v>0.88545602565321024</v>
      </c>
      <c r="H57">
        <f t="shared" si="2"/>
        <v>2.2675335250261255</v>
      </c>
      <c r="I57">
        <f>C57-H57</f>
        <v>2.2501086336392362E-2</v>
      </c>
      <c r="J57">
        <f t="shared" si="3"/>
        <v>2.2501086336392362E-2</v>
      </c>
      <c r="K57">
        <f t="shared" si="4"/>
        <v>2.3650903467243642</v>
      </c>
      <c r="L57">
        <f t="shared" si="5"/>
        <v>0</v>
      </c>
    </row>
    <row r="58" spans="1:12" x14ac:dyDescent="0.25">
      <c r="A58" s="1">
        <v>42401</v>
      </c>
      <c r="B58">
        <v>192</v>
      </c>
      <c r="C58">
        <v>2.2833012287035497</v>
      </c>
      <c r="D58">
        <v>0</v>
      </c>
      <c r="E58">
        <v>57</v>
      </c>
      <c r="F58">
        <f t="shared" si="0"/>
        <v>0.56806474673115548</v>
      </c>
      <c r="G58">
        <f t="shared" si="1"/>
        <v>0.82298386589365657</v>
      </c>
      <c r="H58">
        <f t="shared" si="2"/>
        <v>2.2699972748264079</v>
      </c>
      <c r="I58">
        <f>C58-H58</f>
        <v>1.3303953877141783E-2</v>
      </c>
      <c r="J58">
        <f t="shared" si="3"/>
        <v>1.3303953877141783E-2</v>
      </c>
      <c r="K58">
        <f t="shared" si="4"/>
        <v>2.3675540965246467</v>
      </c>
      <c r="L58">
        <f t="shared" si="5"/>
        <v>0</v>
      </c>
    </row>
    <row r="59" spans="1:12" x14ac:dyDescent="0.25">
      <c r="A59" s="1">
        <v>42408</v>
      </c>
      <c r="B59">
        <v>167</v>
      </c>
      <c r="C59">
        <v>2.2227164711475833</v>
      </c>
      <c r="D59">
        <v>0</v>
      </c>
      <c r="E59">
        <v>58</v>
      </c>
      <c r="F59">
        <f t="shared" si="0"/>
        <v>0.66312265824079519</v>
      </c>
      <c r="G59">
        <f t="shared" si="1"/>
        <v>0.74851074817110108</v>
      </c>
      <c r="H59">
        <f t="shared" si="2"/>
        <v>2.2718982985494516</v>
      </c>
      <c r="I59">
        <f>C59-H59</f>
        <v>-4.9181827401868272E-2</v>
      </c>
      <c r="J59">
        <f t="shared" si="3"/>
        <v>-4.9181827401868272E-2</v>
      </c>
      <c r="K59">
        <f t="shared" si="4"/>
        <v>2.3694551202476903</v>
      </c>
      <c r="L59">
        <f t="shared" si="5"/>
        <v>0</v>
      </c>
    </row>
    <row r="60" spans="1:12" x14ac:dyDescent="0.25">
      <c r="A60" s="1">
        <v>42415</v>
      </c>
      <c r="B60">
        <v>166</v>
      </c>
      <c r="C60">
        <v>2.220108088040055</v>
      </c>
      <c r="D60">
        <v>0</v>
      </c>
      <c r="E60">
        <v>59</v>
      </c>
      <c r="F60">
        <f t="shared" si="0"/>
        <v>0.74851074817110075</v>
      </c>
      <c r="G60">
        <f t="shared" si="1"/>
        <v>0.66312265824079564</v>
      </c>
      <c r="H60">
        <f t="shared" si="2"/>
        <v>2.2732088749886397</v>
      </c>
      <c r="I60">
        <f>C60-H60</f>
        <v>-5.3100786948584666E-2</v>
      </c>
      <c r="J60">
        <f t="shared" si="3"/>
        <v>-5.3100786948584666E-2</v>
      </c>
      <c r="K60">
        <f t="shared" si="4"/>
        <v>2.3707656966868784</v>
      </c>
      <c r="L60">
        <f t="shared" si="5"/>
        <v>0</v>
      </c>
    </row>
    <row r="61" spans="1:12" x14ac:dyDescent="0.25">
      <c r="A61" s="1">
        <v>42422</v>
      </c>
      <c r="B61">
        <v>192</v>
      </c>
      <c r="C61">
        <v>2.2833012287035497</v>
      </c>
      <c r="D61">
        <v>0</v>
      </c>
      <c r="E61">
        <v>60</v>
      </c>
      <c r="F61">
        <f t="shared" si="0"/>
        <v>0.8229838658936558</v>
      </c>
      <c r="G61">
        <f t="shared" si="1"/>
        <v>0.5680647467311567</v>
      </c>
      <c r="H61">
        <f t="shared" si="2"/>
        <v>2.2739098929883297</v>
      </c>
      <c r="I61">
        <f>C61-H61</f>
        <v>9.391335715219995E-3</v>
      </c>
      <c r="J61">
        <f t="shared" si="3"/>
        <v>9.391335715219995E-3</v>
      </c>
      <c r="K61">
        <f t="shared" si="4"/>
        <v>2.3714667146865684</v>
      </c>
      <c r="L61">
        <f t="shared" si="5"/>
        <v>0</v>
      </c>
    </row>
    <row r="62" spans="1:12" x14ac:dyDescent="0.25">
      <c r="A62" s="1">
        <v>42429</v>
      </c>
      <c r="B62">
        <v>186</v>
      </c>
      <c r="C62">
        <v>2.2695129442179165</v>
      </c>
      <c r="D62">
        <v>0</v>
      </c>
      <c r="E62">
        <v>61</v>
      </c>
      <c r="F62">
        <f t="shared" si="0"/>
        <v>0.88545602565320991</v>
      </c>
      <c r="G62">
        <f t="shared" si="1"/>
        <v>0.46472317204376845</v>
      </c>
      <c r="H62">
        <f t="shared" si="2"/>
        <v>2.2739911301275306</v>
      </c>
      <c r="I62">
        <f>C62-H62</f>
        <v>-4.4781859096141297E-3</v>
      </c>
      <c r="J62">
        <f t="shared" si="3"/>
        <v>-4.4781859096141297E-3</v>
      </c>
      <c r="K62">
        <f t="shared" si="4"/>
        <v>2.3715479518257694</v>
      </c>
      <c r="L62">
        <f t="shared" si="5"/>
        <v>0</v>
      </c>
    </row>
    <row r="63" spans="1:12" x14ac:dyDescent="0.25">
      <c r="A63" s="1">
        <v>42436</v>
      </c>
      <c r="B63">
        <v>194</v>
      </c>
      <c r="C63">
        <v>2.287801729930226</v>
      </c>
      <c r="D63">
        <v>0</v>
      </c>
      <c r="E63">
        <v>62</v>
      </c>
      <c r="F63">
        <f t="shared" si="0"/>
        <v>0.93501624268541472</v>
      </c>
      <c r="G63">
        <f t="shared" si="1"/>
        <v>0.35460488704253601</v>
      </c>
      <c r="H63">
        <f t="shared" si="2"/>
        <v>2.2734514017858221</v>
      </c>
      <c r="I63">
        <f>C63-H63</f>
        <v>1.4350328144403957E-2</v>
      </c>
      <c r="J63">
        <f t="shared" si="3"/>
        <v>1.4350328144403957E-2</v>
      </c>
      <c r="K63">
        <f t="shared" si="4"/>
        <v>2.3710082234840608</v>
      </c>
      <c r="L63">
        <f t="shared" si="5"/>
        <v>0</v>
      </c>
    </row>
    <row r="64" spans="1:12" x14ac:dyDescent="0.25">
      <c r="A64" s="1">
        <v>42443</v>
      </c>
      <c r="B64">
        <v>193</v>
      </c>
      <c r="C64">
        <v>2.2855573090077739</v>
      </c>
      <c r="D64">
        <v>0</v>
      </c>
      <c r="E64">
        <v>63</v>
      </c>
      <c r="F64">
        <f t="shared" si="0"/>
        <v>0.97094181742605201</v>
      </c>
      <c r="G64">
        <f t="shared" si="1"/>
        <v>0.23931566428755785</v>
      </c>
      <c r="H64">
        <f t="shared" si="2"/>
        <v>2.2722985784177894</v>
      </c>
      <c r="I64">
        <f>C64-H64</f>
        <v>1.3258730589984502E-2</v>
      </c>
      <c r="J64">
        <f t="shared" si="3"/>
        <v>1.3258730589984502E-2</v>
      </c>
      <c r="K64">
        <f t="shared" si="4"/>
        <v>2.3698554001160281</v>
      </c>
      <c r="L64">
        <f t="shared" si="5"/>
        <v>0</v>
      </c>
    </row>
    <row r="65" spans="1:12" x14ac:dyDescent="0.25">
      <c r="A65" s="1">
        <v>42450</v>
      </c>
      <c r="B65">
        <v>232</v>
      </c>
      <c r="C65">
        <v>2.3654879848908998</v>
      </c>
      <c r="D65">
        <v>0</v>
      </c>
      <c r="E65">
        <v>64</v>
      </c>
      <c r="F65">
        <f t="shared" si="0"/>
        <v>0.99270887409805386</v>
      </c>
      <c r="G65">
        <f t="shared" si="1"/>
        <v>0.12053668025532369</v>
      </c>
      <c r="H65">
        <f t="shared" si="2"/>
        <v>2.2705494707840699</v>
      </c>
      <c r="I65">
        <f>C65-H65</f>
        <v>9.4938514106829963E-2</v>
      </c>
      <c r="J65">
        <f t="shared" si="3"/>
        <v>9.4938514106829963E-2</v>
      </c>
      <c r="K65">
        <f t="shared" si="4"/>
        <v>2.3681062924823086</v>
      </c>
      <c r="L65">
        <f t="shared" si="5"/>
        <v>0</v>
      </c>
    </row>
    <row r="66" spans="1:12" x14ac:dyDescent="0.25">
      <c r="A66" s="1">
        <v>42457</v>
      </c>
      <c r="B66">
        <v>179</v>
      </c>
      <c r="C66">
        <v>2.2528530309798933</v>
      </c>
      <c r="D66">
        <v>0</v>
      </c>
      <c r="E66">
        <v>65</v>
      </c>
      <c r="F66">
        <f t="shared" si="0"/>
        <v>1</v>
      </c>
      <c r="G66">
        <f t="shared" si="1"/>
        <v>3.06287113727155E-16</v>
      </c>
      <c r="H66">
        <f t="shared" si="2"/>
        <v>2.2682295848126106</v>
      </c>
      <c r="I66">
        <f>C66-H66</f>
        <v>-1.5376553832717299E-2</v>
      </c>
      <c r="J66">
        <f t="shared" si="3"/>
        <v>-1.5376553832717299E-2</v>
      </c>
      <c r="K66">
        <f t="shared" si="4"/>
        <v>2.3657864065108494</v>
      </c>
      <c r="L66">
        <f t="shared" si="5"/>
        <v>0</v>
      </c>
    </row>
    <row r="67" spans="1:12" x14ac:dyDescent="0.25">
      <c r="A67" s="1">
        <v>42464</v>
      </c>
      <c r="B67">
        <v>157</v>
      </c>
      <c r="C67">
        <v>2.1958996524092336</v>
      </c>
      <c r="D67">
        <v>0</v>
      </c>
      <c r="E67">
        <v>66</v>
      </c>
      <c r="F67">
        <f t="shared" ref="F67:F130" si="6">SIN(2*PI()*E67/52)</f>
        <v>0.99270887409805397</v>
      </c>
      <c r="G67">
        <f t="shared" ref="G67:G130" si="7">COS(2*PI()*E67/52)</f>
        <v>-0.12053668025532309</v>
      </c>
      <c r="H67">
        <f t="shared" ref="H67:H130" si="8">$P$2+$N$2*F67+$O$2*G67</f>
        <v>2.2653727496648046</v>
      </c>
      <c r="I67">
        <f>C67-H67</f>
        <v>-6.9473097255571048E-2</v>
      </c>
      <c r="J67">
        <f t="shared" ref="J67:J130" si="9">IF(D67,"",I67)</f>
        <v>-6.9473097255571048E-2</v>
      </c>
      <c r="K67">
        <f t="shared" ref="K67:K130" si="10">H67+$S$2</f>
        <v>2.3629295713630434</v>
      </c>
      <c r="L67">
        <f t="shared" ref="L67:L130" si="11">IF(C67-K67&gt;0,10^C67-10^K67,0)</f>
        <v>0</v>
      </c>
    </row>
    <row r="68" spans="1:12" x14ac:dyDescent="0.25">
      <c r="A68" s="1">
        <v>42471</v>
      </c>
      <c r="B68">
        <v>178</v>
      </c>
      <c r="C68">
        <v>2.2504200023088941</v>
      </c>
      <c r="D68">
        <v>0</v>
      </c>
      <c r="E68">
        <v>67</v>
      </c>
      <c r="F68">
        <f t="shared" si="6"/>
        <v>0.9709418174260519</v>
      </c>
      <c r="G68">
        <f t="shared" si="7"/>
        <v>-0.23931566428755813</v>
      </c>
      <c r="H68">
        <f t="shared" si="8"/>
        <v>2.2620206244301384</v>
      </c>
      <c r="I68">
        <f>C68-H68</f>
        <v>-1.1600622121244353E-2</v>
      </c>
      <c r="J68">
        <f t="shared" si="9"/>
        <v>-1.1600622121244353E-2</v>
      </c>
      <c r="K68">
        <f t="shared" si="10"/>
        <v>2.3595774461283772</v>
      </c>
      <c r="L68">
        <f t="shared" si="11"/>
        <v>0</v>
      </c>
    </row>
    <row r="69" spans="1:12" x14ac:dyDescent="0.25">
      <c r="A69" s="1">
        <v>42478</v>
      </c>
      <c r="B69">
        <v>179</v>
      </c>
      <c r="C69">
        <v>2.2528530309798933</v>
      </c>
      <c r="D69">
        <v>0</v>
      </c>
      <c r="E69">
        <v>68</v>
      </c>
      <c r="F69">
        <f t="shared" si="6"/>
        <v>0.93501624268541483</v>
      </c>
      <c r="G69">
        <f t="shared" si="7"/>
        <v>-0.35460488704253545</v>
      </c>
      <c r="H69">
        <f t="shared" si="8"/>
        <v>2.2582220906428629</v>
      </c>
      <c r="I69">
        <f>C69-H69</f>
        <v>-5.369059662969633E-3</v>
      </c>
      <c r="J69">
        <f t="shared" si="9"/>
        <v>-5.369059662969633E-3</v>
      </c>
      <c r="K69">
        <f t="shared" si="10"/>
        <v>2.3557789123411017</v>
      </c>
      <c r="L69">
        <f t="shared" si="11"/>
        <v>0</v>
      </c>
    </row>
    <row r="70" spans="1:12" x14ac:dyDescent="0.25">
      <c r="A70" s="1">
        <v>42485</v>
      </c>
      <c r="B70">
        <v>168</v>
      </c>
      <c r="C70">
        <v>2.2253092817258628</v>
      </c>
      <c r="D70">
        <v>0</v>
      </c>
      <c r="E70">
        <v>69</v>
      </c>
      <c r="F70">
        <f t="shared" si="6"/>
        <v>0.88545602565321024</v>
      </c>
      <c r="G70">
        <f t="shared" si="7"/>
        <v>-0.4647231720437679</v>
      </c>
      <c r="H70">
        <f t="shared" si="8"/>
        <v>2.2540325394791489</v>
      </c>
      <c r="I70">
        <f>C70-H70</f>
        <v>-2.8723257753286102E-2</v>
      </c>
      <c r="J70">
        <f t="shared" si="9"/>
        <v>-2.8723257753286102E-2</v>
      </c>
      <c r="K70">
        <f t="shared" si="10"/>
        <v>2.3515893611773877</v>
      </c>
      <c r="L70">
        <f t="shared" si="11"/>
        <v>0</v>
      </c>
    </row>
    <row r="71" spans="1:12" x14ac:dyDescent="0.25">
      <c r="A71" s="1">
        <v>42492</v>
      </c>
      <c r="B71">
        <v>177</v>
      </c>
      <c r="C71">
        <v>2.2479732663618068</v>
      </c>
      <c r="D71">
        <v>0</v>
      </c>
      <c r="E71">
        <v>70</v>
      </c>
      <c r="F71">
        <f t="shared" si="6"/>
        <v>0.82298386589365713</v>
      </c>
      <c r="G71">
        <f t="shared" si="7"/>
        <v>-0.5680647467311547</v>
      </c>
      <c r="H71">
        <f t="shared" si="8"/>
        <v>2.2495130640290117</v>
      </c>
      <c r="I71">
        <f>C71-H71</f>
        <v>-1.5397976672049118E-3</v>
      </c>
      <c r="J71">
        <f t="shared" si="9"/>
        <v>-1.5397976672049118E-3</v>
      </c>
      <c r="K71">
        <f t="shared" si="10"/>
        <v>2.3470698857272505</v>
      </c>
      <c r="L71">
        <f t="shared" si="11"/>
        <v>0</v>
      </c>
    </row>
    <row r="72" spans="1:12" x14ac:dyDescent="0.25">
      <c r="A72" s="1">
        <v>42499</v>
      </c>
      <c r="B72">
        <v>177</v>
      </c>
      <c r="C72">
        <v>2.2479732663618068</v>
      </c>
      <c r="D72">
        <v>0</v>
      </c>
      <c r="E72">
        <v>71</v>
      </c>
      <c r="F72">
        <f t="shared" si="6"/>
        <v>0.74851074817110119</v>
      </c>
      <c r="G72">
        <f t="shared" si="7"/>
        <v>-0.66312265824079519</v>
      </c>
      <c r="H72">
        <f t="shared" si="8"/>
        <v>2.2447295684214863</v>
      </c>
      <c r="I72">
        <f>C72-H72</f>
        <v>3.2436979403205335E-3</v>
      </c>
      <c r="J72">
        <f t="shared" si="9"/>
        <v>3.2436979403205335E-3</v>
      </c>
      <c r="K72">
        <f t="shared" si="10"/>
        <v>2.3422863901197251</v>
      </c>
      <c r="L72">
        <f t="shared" si="11"/>
        <v>0</v>
      </c>
    </row>
    <row r="73" spans="1:12" x14ac:dyDescent="0.25">
      <c r="A73" s="1">
        <v>42506</v>
      </c>
      <c r="B73">
        <v>146</v>
      </c>
      <c r="C73">
        <v>2.1643528557844371</v>
      </c>
      <c r="D73">
        <v>0</v>
      </c>
      <c r="E73">
        <v>72</v>
      </c>
      <c r="F73">
        <f t="shared" si="6"/>
        <v>0.66312265824079564</v>
      </c>
      <c r="G73">
        <f t="shared" si="7"/>
        <v>-0.74851074817110064</v>
      </c>
      <c r="H73">
        <f t="shared" si="8"/>
        <v>2.2397518067940245</v>
      </c>
      <c r="I73">
        <f>C73-H73</f>
        <v>-7.5398951009587378E-2</v>
      </c>
      <c r="J73">
        <f t="shared" si="9"/>
        <v>-7.5398951009587378E-2</v>
      </c>
      <c r="K73">
        <f t="shared" si="10"/>
        <v>2.3373086284922633</v>
      </c>
      <c r="L73">
        <f t="shared" si="11"/>
        <v>0</v>
      </c>
    </row>
    <row r="74" spans="1:12" x14ac:dyDescent="0.25">
      <c r="A74" s="1">
        <v>42513</v>
      </c>
      <c r="B74">
        <v>172</v>
      </c>
      <c r="C74">
        <v>2.2355284469075487</v>
      </c>
      <c r="D74">
        <v>0</v>
      </c>
      <c r="E74">
        <v>73</v>
      </c>
      <c r="F74">
        <f t="shared" si="6"/>
        <v>0.56806474673115681</v>
      </c>
      <c r="G74">
        <f t="shared" si="7"/>
        <v>-0.82298386589365569</v>
      </c>
      <c r="H74">
        <f t="shared" si="8"/>
        <v>2.2346523661200974</v>
      </c>
      <c r="I74">
        <f>C74-H74</f>
        <v>8.7608078745127216E-4</v>
      </c>
      <c r="J74">
        <f t="shared" si="9"/>
        <v>8.7608078745127216E-4</v>
      </c>
      <c r="K74">
        <f t="shared" si="10"/>
        <v>2.3322091878183362</v>
      </c>
      <c r="L74">
        <f t="shared" si="11"/>
        <v>0</v>
      </c>
    </row>
    <row r="75" spans="1:12" x14ac:dyDescent="0.25">
      <c r="A75" s="1">
        <v>42520</v>
      </c>
      <c r="B75">
        <v>151</v>
      </c>
      <c r="C75">
        <v>2.1789769472931693</v>
      </c>
      <c r="D75">
        <v>0</v>
      </c>
      <c r="E75">
        <v>74</v>
      </c>
      <c r="F75">
        <f t="shared" si="6"/>
        <v>0.46472317204376851</v>
      </c>
      <c r="G75">
        <f t="shared" si="7"/>
        <v>-0.88545602565320991</v>
      </c>
      <c r="H75">
        <f t="shared" si="8"/>
        <v>2.2295056077276718</v>
      </c>
      <c r="I75">
        <f>C75-H75</f>
        <v>-5.0528660434502548E-2</v>
      </c>
      <c r="J75">
        <f t="shared" si="9"/>
        <v>-5.0528660434502548E-2</v>
      </c>
      <c r="K75">
        <f t="shared" si="10"/>
        <v>2.3270624294259106</v>
      </c>
      <c r="L75">
        <f t="shared" si="11"/>
        <v>0</v>
      </c>
    </row>
    <row r="76" spans="1:12" x14ac:dyDescent="0.25">
      <c r="A76" s="1">
        <v>42527</v>
      </c>
      <c r="B76">
        <v>146</v>
      </c>
      <c r="C76">
        <v>2.1643528557844371</v>
      </c>
      <c r="D76">
        <v>0</v>
      </c>
      <c r="E76">
        <v>75</v>
      </c>
      <c r="F76">
        <f t="shared" si="6"/>
        <v>0.35460488704253607</v>
      </c>
      <c r="G76">
        <f t="shared" si="7"/>
        <v>-0.93501624268541461</v>
      </c>
      <c r="H76">
        <f t="shared" si="8"/>
        <v>2.2243865829435996</v>
      </c>
      <c r="I76">
        <f>C76-H76</f>
        <v>-6.0033727159162442E-2</v>
      </c>
      <c r="J76">
        <f t="shared" si="9"/>
        <v>-6.0033727159162442E-2</v>
      </c>
      <c r="K76">
        <f t="shared" si="10"/>
        <v>2.3219434046418383</v>
      </c>
      <c r="L76">
        <f t="shared" si="11"/>
        <v>0</v>
      </c>
    </row>
    <row r="77" spans="1:12" x14ac:dyDescent="0.25">
      <c r="A77" s="1">
        <v>42534</v>
      </c>
      <c r="B77">
        <v>178</v>
      </c>
      <c r="C77">
        <v>2.2504200023088941</v>
      </c>
      <c r="D77">
        <v>0</v>
      </c>
      <c r="E77">
        <v>76</v>
      </c>
      <c r="F77">
        <f t="shared" si="6"/>
        <v>0.23931566428755877</v>
      </c>
      <c r="G77">
        <f t="shared" si="7"/>
        <v>-0.97094181742605179</v>
      </c>
      <c r="H77">
        <f t="shared" si="8"/>
        <v>2.2193699386762726</v>
      </c>
      <c r="I77">
        <f>C77-H77</f>
        <v>3.1050063632621416E-2</v>
      </c>
      <c r="J77">
        <f t="shared" si="9"/>
        <v>3.1050063632621416E-2</v>
      </c>
      <c r="K77">
        <f t="shared" si="10"/>
        <v>2.3169267603745114</v>
      </c>
      <c r="L77">
        <f t="shared" si="11"/>
        <v>0</v>
      </c>
    </row>
    <row r="78" spans="1:12" x14ac:dyDescent="0.25">
      <c r="A78" s="1">
        <v>42541</v>
      </c>
      <c r="B78">
        <v>162</v>
      </c>
      <c r="C78">
        <v>2.2095150145426308</v>
      </c>
      <c r="D78">
        <v>0</v>
      </c>
      <c r="E78">
        <v>77</v>
      </c>
      <c r="F78">
        <f t="shared" si="6"/>
        <v>0.12053668025532287</v>
      </c>
      <c r="G78">
        <f t="shared" si="7"/>
        <v>-0.99270887409805397</v>
      </c>
      <c r="H78">
        <f t="shared" si="8"/>
        <v>2.2145288288956073</v>
      </c>
      <c r="I78">
        <f>C78-H78</f>
        <v>-5.0138143529765422E-3</v>
      </c>
      <c r="J78">
        <f t="shared" si="9"/>
        <v>-5.0138143529765422E-3</v>
      </c>
      <c r="K78">
        <f t="shared" si="10"/>
        <v>2.3120856505938461</v>
      </c>
      <c r="L78">
        <f t="shared" si="11"/>
        <v>0</v>
      </c>
    </row>
    <row r="79" spans="1:12" x14ac:dyDescent="0.25">
      <c r="A79" s="1">
        <v>42548</v>
      </c>
      <c r="B79">
        <v>155</v>
      </c>
      <c r="C79">
        <v>2.1903316981702914</v>
      </c>
      <c r="D79">
        <v>0</v>
      </c>
      <c r="E79">
        <v>78</v>
      </c>
      <c r="F79">
        <f t="shared" si="6"/>
        <v>3.67544536472586E-16</v>
      </c>
      <c r="G79">
        <f t="shared" si="7"/>
        <v>-1</v>
      </c>
      <c r="H79">
        <f t="shared" si="8"/>
        <v>2.2099338478834358</v>
      </c>
      <c r="I79">
        <f>C79-H79</f>
        <v>-1.9602149713144446E-2</v>
      </c>
      <c r="J79">
        <f t="shared" si="9"/>
        <v>-1.9602149713144446E-2</v>
      </c>
      <c r="K79">
        <f t="shared" si="10"/>
        <v>2.3074906695816746</v>
      </c>
      <c r="L79">
        <f t="shared" si="11"/>
        <v>0</v>
      </c>
    </row>
    <row r="80" spans="1:12" x14ac:dyDescent="0.25">
      <c r="A80" s="1">
        <v>42555</v>
      </c>
      <c r="B80">
        <v>155</v>
      </c>
      <c r="C80">
        <v>2.1903316981702914</v>
      </c>
      <c r="D80">
        <v>0</v>
      </c>
      <c r="E80">
        <v>79</v>
      </c>
      <c r="F80">
        <f t="shared" si="6"/>
        <v>-0.12053668025532391</v>
      </c>
      <c r="G80">
        <f t="shared" si="7"/>
        <v>-0.99270887409805386</v>
      </c>
      <c r="H80">
        <f t="shared" si="8"/>
        <v>2.2056520008099114</v>
      </c>
      <c r="I80">
        <f>C80-H80</f>
        <v>-1.5320302639620031E-2</v>
      </c>
      <c r="J80">
        <f t="shared" si="9"/>
        <v>-1.5320302639620031E-2</v>
      </c>
      <c r="K80">
        <f t="shared" si="10"/>
        <v>2.3032088225081502</v>
      </c>
      <c r="L80">
        <f t="shared" si="11"/>
        <v>0</v>
      </c>
    </row>
    <row r="81" spans="1:12" x14ac:dyDescent="0.25">
      <c r="A81" s="1">
        <v>42562</v>
      </c>
      <c r="B81">
        <v>160</v>
      </c>
      <c r="C81">
        <v>2.2041199826559246</v>
      </c>
      <c r="D81">
        <v>0</v>
      </c>
      <c r="E81">
        <v>80</v>
      </c>
      <c r="F81">
        <f t="shared" si="6"/>
        <v>-0.23931566428755807</v>
      </c>
      <c r="G81">
        <f t="shared" si="7"/>
        <v>-0.9709418174260519</v>
      </c>
      <c r="H81">
        <f t="shared" si="8"/>
        <v>2.2017457266472467</v>
      </c>
      <c r="I81">
        <f>C81-H81</f>
        <v>2.3742560086779108E-3</v>
      </c>
      <c r="J81">
        <f t="shared" si="9"/>
        <v>2.3742560086779108E-3</v>
      </c>
      <c r="K81">
        <f t="shared" si="10"/>
        <v>2.2993025483454854</v>
      </c>
      <c r="L81">
        <f t="shared" si="11"/>
        <v>0</v>
      </c>
    </row>
    <row r="82" spans="1:12" x14ac:dyDescent="0.25">
      <c r="A82" s="1">
        <v>42569</v>
      </c>
      <c r="B82">
        <v>193</v>
      </c>
      <c r="C82">
        <v>2.2855573090077739</v>
      </c>
      <c r="D82">
        <v>0</v>
      </c>
      <c r="E82">
        <v>81</v>
      </c>
      <c r="F82">
        <f t="shared" si="6"/>
        <v>-0.3546048870425354</v>
      </c>
      <c r="G82">
        <f t="shared" si="7"/>
        <v>-0.93501624268541494</v>
      </c>
      <c r="H82">
        <f t="shared" si="8"/>
        <v>2.1982719876688965</v>
      </c>
      <c r="I82">
        <f>C82-H82</f>
        <v>8.7285321338877342E-2</v>
      </c>
      <c r="J82">
        <f t="shared" si="9"/>
        <v>8.7285321338877342E-2</v>
      </c>
      <c r="K82">
        <f t="shared" si="10"/>
        <v>2.2958288093671353</v>
      </c>
      <c r="L82">
        <f t="shared" si="11"/>
        <v>0</v>
      </c>
    </row>
    <row r="83" spans="1:12" x14ac:dyDescent="0.25">
      <c r="A83" s="1">
        <v>42576</v>
      </c>
      <c r="B83">
        <v>166</v>
      </c>
      <c r="C83">
        <v>2.220108088040055</v>
      </c>
      <c r="D83">
        <v>0</v>
      </c>
      <c r="E83">
        <v>82</v>
      </c>
      <c r="F83">
        <f t="shared" si="6"/>
        <v>-0.46472317204376784</v>
      </c>
      <c r="G83">
        <f t="shared" si="7"/>
        <v>-0.88545602565321024</v>
      </c>
      <c r="H83">
        <f t="shared" si="8"/>
        <v>2.1952814388113429</v>
      </c>
      <c r="I83">
        <f>C83-H83</f>
        <v>2.4826649228712139E-2</v>
      </c>
      <c r="J83">
        <f t="shared" si="9"/>
        <v>2.4826649228712139E-2</v>
      </c>
      <c r="K83">
        <f t="shared" si="10"/>
        <v>2.2928382605095816</v>
      </c>
      <c r="L83">
        <f t="shared" si="11"/>
        <v>0</v>
      </c>
    </row>
    <row r="84" spans="1:12" x14ac:dyDescent="0.25">
      <c r="A84" s="1">
        <v>42583</v>
      </c>
      <c r="B84">
        <v>144</v>
      </c>
      <c r="C84">
        <v>2.1583624920952498</v>
      </c>
      <c r="D84">
        <v>0</v>
      </c>
      <c r="E84">
        <v>83</v>
      </c>
      <c r="F84">
        <f t="shared" si="6"/>
        <v>-0.56806474673115614</v>
      </c>
      <c r="G84">
        <f t="shared" si="7"/>
        <v>-0.82298386589365613</v>
      </c>
      <c r="H84">
        <f t="shared" si="8"/>
        <v>2.1928176890110604</v>
      </c>
      <c r="I84">
        <f>C84-H84</f>
        <v>-3.4455196915810671E-2</v>
      </c>
      <c r="J84">
        <f t="shared" si="9"/>
        <v>-3.4455196915810671E-2</v>
      </c>
      <c r="K84">
        <f t="shared" si="10"/>
        <v>2.2903745107092992</v>
      </c>
      <c r="L84">
        <f t="shared" si="11"/>
        <v>0</v>
      </c>
    </row>
    <row r="85" spans="1:12" x14ac:dyDescent="0.25">
      <c r="A85" s="1">
        <v>42590</v>
      </c>
      <c r="B85">
        <v>167</v>
      </c>
      <c r="C85">
        <v>2.2227164711475833</v>
      </c>
      <c r="D85">
        <v>0</v>
      </c>
      <c r="E85">
        <v>84</v>
      </c>
      <c r="F85">
        <f t="shared" si="6"/>
        <v>-0.66312265824079508</v>
      </c>
      <c r="G85">
        <f t="shared" si="7"/>
        <v>-0.74851074817110119</v>
      </c>
      <c r="H85">
        <f t="shared" si="8"/>
        <v>2.1909166652880168</v>
      </c>
      <c r="I85">
        <f>C85-H85</f>
        <v>3.1799805859566543E-2</v>
      </c>
      <c r="J85">
        <f t="shared" si="9"/>
        <v>3.1799805859566543E-2</v>
      </c>
      <c r="K85">
        <f t="shared" si="10"/>
        <v>2.2884734869862555</v>
      </c>
      <c r="L85">
        <f t="shared" si="11"/>
        <v>0</v>
      </c>
    </row>
    <row r="86" spans="1:12" x14ac:dyDescent="0.25">
      <c r="A86" s="1">
        <v>42597</v>
      </c>
      <c r="B86">
        <v>149</v>
      </c>
      <c r="C86">
        <v>2.173186268412274</v>
      </c>
      <c r="D86">
        <v>0</v>
      </c>
      <c r="E86">
        <v>85</v>
      </c>
      <c r="F86">
        <f t="shared" si="6"/>
        <v>-0.74851074817110064</v>
      </c>
      <c r="G86">
        <f t="shared" si="7"/>
        <v>-0.66312265824079575</v>
      </c>
      <c r="H86">
        <f t="shared" si="8"/>
        <v>2.1896060888488287</v>
      </c>
      <c r="I86">
        <f>C86-H86</f>
        <v>-1.6419820436554655E-2</v>
      </c>
      <c r="J86">
        <f t="shared" si="9"/>
        <v>-1.6419820436554655E-2</v>
      </c>
      <c r="K86">
        <f t="shared" si="10"/>
        <v>2.2871629105470674</v>
      </c>
      <c r="L86">
        <f t="shared" si="11"/>
        <v>0</v>
      </c>
    </row>
    <row r="87" spans="1:12" x14ac:dyDescent="0.25">
      <c r="A87" s="1">
        <v>42604</v>
      </c>
      <c r="B87">
        <v>178</v>
      </c>
      <c r="C87">
        <v>2.2504200023088941</v>
      </c>
      <c r="D87">
        <v>0</v>
      </c>
      <c r="E87">
        <v>86</v>
      </c>
      <c r="F87">
        <f t="shared" si="6"/>
        <v>-0.82298386589365569</v>
      </c>
      <c r="G87">
        <f t="shared" si="7"/>
        <v>-0.56806474673115681</v>
      </c>
      <c r="H87">
        <f t="shared" si="8"/>
        <v>2.1889050708491387</v>
      </c>
      <c r="I87">
        <f>C87-H87</f>
        <v>6.1514931459755395E-2</v>
      </c>
      <c r="J87">
        <f t="shared" si="9"/>
        <v>6.1514931459755395E-2</v>
      </c>
      <c r="K87">
        <f t="shared" si="10"/>
        <v>2.2864618925473774</v>
      </c>
      <c r="L87">
        <f t="shared" si="11"/>
        <v>0</v>
      </c>
    </row>
    <row r="88" spans="1:12" x14ac:dyDescent="0.25">
      <c r="A88" s="1">
        <v>42611</v>
      </c>
      <c r="B88">
        <v>155</v>
      </c>
      <c r="C88">
        <v>2.1903316981702914</v>
      </c>
      <c r="D88">
        <v>0</v>
      </c>
      <c r="E88">
        <v>87</v>
      </c>
      <c r="F88">
        <f t="shared" si="6"/>
        <v>-0.88545602565320902</v>
      </c>
      <c r="G88">
        <f t="shared" si="7"/>
        <v>-0.46472317204377012</v>
      </c>
      <c r="H88">
        <f t="shared" si="8"/>
        <v>2.1888238337099377</v>
      </c>
      <c r="I88">
        <f>C88-H88</f>
        <v>1.5078644603536695E-3</v>
      </c>
      <c r="J88">
        <f t="shared" si="9"/>
        <v>1.5078644603536695E-3</v>
      </c>
      <c r="K88">
        <f t="shared" si="10"/>
        <v>2.2863806554081765</v>
      </c>
      <c r="L88">
        <f t="shared" si="11"/>
        <v>0</v>
      </c>
    </row>
    <row r="89" spans="1:12" x14ac:dyDescent="0.25">
      <c r="A89" s="1">
        <v>42618</v>
      </c>
      <c r="B89">
        <v>156</v>
      </c>
      <c r="C89">
        <v>2.1931245983544616</v>
      </c>
      <c r="D89">
        <v>0</v>
      </c>
      <c r="E89">
        <v>88</v>
      </c>
      <c r="F89">
        <f t="shared" si="6"/>
        <v>-0.93501624268541395</v>
      </c>
      <c r="G89">
        <f t="shared" si="7"/>
        <v>-0.35460488704253779</v>
      </c>
      <c r="H89">
        <f t="shared" si="8"/>
        <v>2.1893635620516463</v>
      </c>
      <c r="I89">
        <f>C89-H89</f>
        <v>3.7610363028153238E-3</v>
      </c>
      <c r="J89">
        <f t="shared" si="9"/>
        <v>3.7610363028153238E-3</v>
      </c>
      <c r="K89">
        <f t="shared" si="10"/>
        <v>2.286920383749885</v>
      </c>
      <c r="L89">
        <f t="shared" si="11"/>
        <v>0</v>
      </c>
    </row>
    <row r="90" spans="1:12" x14ac:dyDescent="0.25">
      <c r="A90" s="1">
        <v>42625</v>
      </c>
      <c r="B90">
        <v>166</v>
      </c>
      <c r="C90">
        <v>2.220108088040055</v>
      </c>
      <c r="D90">
        <v>0</v>
      </c>
      <c r="E90">
        <v>89</v>
      </c>
      <c r="F90">
        <f t="shared" si="6"/>
        <v>-0.97094181742605223</v>
      </c>
      <c r="G90">
        <f t="shared" si="7"/>
        <v>-0.2393156642875571</v>
      </c>
      <c r="H90">
        <f t="shared" si="8"/>
        <v>2.190516385419679</v>
      </c>
      <c r="I90">
        <f>C90-H90</f>
        <v>2.9591702620376026E-2</v>
      </c>
      <c r="J90">
        <f t="shared" si="9"/>
        <v>2.9591702620376026E-2</v>
      </c>
      <c r="K90">
        <f t="shared" si="10"/>
        <v>2.2880732071179177</v>
      </c>
      <c r="L90">
        <f t="shared" si="11"/>
        <v>0</v>
      </c>
    </row>
    <row r="91" spans="1:12" x14ac:dyDescent="0.25">
      <c r="A91" s="1">
        <v>42632</v>
      </c>
      <c r="B91">
        <v>133</v>
      </c>
      <c r="C91">
        <v>2.1238516409670858</v>
      </c>
      <c r="D91">
        <v>0</v>
      </c>
      <c r="E91">
        <v>90</v>
      </c>
      <c r="F91">
        <f t="shared" si="6"/>
        <v>-0.99270887409805397</v>
      </c>
      <c r="G91">
        <f t="shared" si="7"/>
        <v>-0.12053668025532294</v>
      </c>
      <c r="H91">
        <f t="shared" si="8"/>
        <v>2.1922654930533985</v>
      </c>
      <c r="I91">
        <f>C91-H91</f>
        <v>-6.8413852086312676E-2</v>
      </c>
      <c r="J91">
        <f t="shared" si="9"/>
        <v>-6.8413852086312676E-2</v>
      </c>
      <c r="K91">
        <f t="shared" si="10"/>
        <v>2.2898223147516372</v>
      </c>
      <c r="L91">
        <f t="shared" si="11"/>
        <v>0</v>
      </c>
    </row>
    <row r="92" spans="1:12" x14ac:dyDescent="0.25">
      <c r="A92" s="1">
        <v>42639</v>
      </c>
      <c r="B92">
        <v>165</v>
      </c>
      <c r="C92">
        <v>2.2174839442139063</v>
      </c>
      <c r="D92">
        <v>0</v>
      </c>
      <c r="E92">
        <v>91</v>
      </c>
      <c r="F92">
        <f t="shared" si="6"/>
        <v>-1</v>
      </c>
      <c r="G92">
        <f t="shared" si="7"/>
        <v>-4.28801959218017E-16</v>
      </c>
      <c r="H92">
        <f t="shared" si="8"/>
        <v>2.1945853790248577</v>
      </c>
      <c r="I92">
        <f>C92-H92</f>
        <v>2.2898565189048536E-2</v>
      </c>
      <c r="J92">
        <f t="shared" si="9"/>
        <v>2.2898565189048536E-2</v>
      </c>
      <c r="K92">
        <f t="shared" si="10"/>
        <v>2.2921422007230965</v>
      </c>
      <c r="L92">
        <f t="shared" si="11"/>
        <v>0</v>
      </c>
    </row>
    <row r="93" spans="1:12" x14ac:dyDescent="0.25">
      <c r="A93" s="1">
        <v>42646</v>
      </c>
      <c r="B93">
        <v>155</v>
      </c>
      <c r="C93">
        <v>2.1903316981702914</v>
      </c>
      <c r="D93">
        <v>0</v>
      </c>
      <c r="E93">
        <v>92</v>
      </c>
      <c r="F93">
        <f t="shared" si="6"/>
        <v>-0.99270887409805408</v>
      </c>
      <c r="G93">
        <f t="shared" si="7"/>
        <v>0.12053668025532208</v>
      </c>
      <c r="H93">
        <f t="shared" si="8"/>
        <v>2.1974422141726637</v>
      </c>
      <c r="I93">
        <f>C93-H93</f>
        <v>-7.1105160023723357E-3</v>
      </c>
      <c r="J93">
        <f t="shared" si="9"/>
        <v>-7.1105160023723357E-3</v>
      </c>
      <c r="K93">
        <f t="shared" si="10"/>
        <v>2.2949990358709025</v>
      </c>
      <c r="L93">
        <f t="shared" si="11"/>
        <v>0</v>
      </c>
    </row>
    <row r="94" spans="1:12" x14ac:dyDescent="0.25">
      <c r="A94" s="1">
        <v>42653</v>
      </c>
      <c r="B94">
        <v>170</v>
      </c>
      <c r="C94">
        <v>2.2304489213782741</v>
      </c>
      <c r="D94">
        <v>0</v>
      </c>
      <c r="E94">
        <v>93</v>
      </c>
      <c r="F94">
        <f t="shared" si="6"/>
        <v>-0.97094181742605234</v>
      </c>
      <c r="G94">
        <f t="shared" si="7"/>
        <v>0.23931566428755627</v>
      </c>
      <c r="H94">
        <f t="shared" si="8"/>
        <v>2.2007943394073299</v>
      </c>
      <c r="I94">
        <f>C94-H94</f>
        <v>2.9654581970944172E-2</v>
      </c>
      <c r="J94">
        <f t="shared" si="9"/>
        <v>2.9654581970944172E-2</v>
      </c>
      <c r="K94">
        <f t="shared" si="10"/>
        <v>2.2983511611055687</v>
      </c>
      <c r="L94">
        <f t="shared" si="11"/>
        <v>0</v>
      </c>
    </row>
    <row r="95" spans="1:12" x14ac:dyDescent="0.25">
      <c r="A95" s="1">
        <v>42660</v>
      </c>
      <c r="B95">
        <v>181</v>
      </c>
      <c r="C95">
        <v>2.2576785748691846</v>
      </c>
      <c r="D95">
        <v>0</v>
      </c>
      <c r="E95">
        <v>94</v>
      </c>
      <c r="F95">
        <f t="shared" si="6"/>
        <v>-0.93501624268541494</v>
      </c>
      <c r="G95">
        <f t="shared" si="7"/>
        <v>0.35460488704253534</v>
      </c>
      <c r="H95">
        <f t="shared" si="8"/>
        <v>2.2045928731946054</v>
      </c>
      <c r="I95">
        <f>C95-H95</f>
        <v>5.3085701674579155E-2</v>
      </c>
      <c r="J95">
        <f t="shared" si="9"/>
        <v>5.3085701674579155E-2</v>
      </c>
      <c r="K95">
        <f t="shared" si="10"/>
        <v>2.3021496948928442</v>
      </c>
      <c r="L95">
        <f t="shared" si="11"/>
        <v>0</v>
      </c>
    </row>
    <row r="96" spans="1:12" x14ac:dyDescent="0.25">
      <c r="A96" s="1">
        <v>42667</v>
      </c>
      <c r="B96">
        <v>165</v>
      </c>
      <c r="C96">
        <v>2.2174839442139063</v>
      </c>
      <c r="D96">
        <v>0</v>
      </c>
      <c r="E96">
        <v>95</v>
      </c>
      <c r="F96">
        <f t="shared" si="6"/>
        <v>-0.88545602565321024</v>
      </c>
      <c r="G96">
        <f t="shared" si="7"/>
        <v>0.46472317204376778</v>
      </c>
      <c r="H96">
        <f t="shared" si="8"/>
        <v>2.2087824243583194</v>
      </c>
      <c r="I96">
        <f>C96-H96</f>
        <v>8.70151985558687E-3</v>
      </c>
      <c r="J96">
        <f t="shared" si="9"/>
        <v>8.70151985558687E-3</v>
      </c>
      <c r="K96">
        <f t="shared" si="10"/>
        <v>2.3063392460565582</v>
      </c>
      <c r="L96">
        <f t="shared" si="11"/>
        <v>0</v>
      </c>
    </row>
    <row r="97" spans="1:12" x14ac:dyDescent="0.25">
      <c r="A97" s="1">
        <v>42674</v>
      </c>
      <c r="B97">
        <v>165</v>
      </c>
      <c r="C97">
        <v>2.2174839442139063</v>
      </c>
      <c r="D97">
        <v>0</v>
      </c>
      <c r="E97">
        <v>96</v>
      </c>
      <c r="F97">
        <f t="shared" si="6"/>
        <v>-0.82298386589365624</v>
      </c>
      <c r="G97">
        <f t="shared" si="7"/>
        <v>0.56806474673115614</v>
      </c>
      <c r="H97">
        <f t="shared" si="8"/>
        <v>2.213301899808457</v>
      </c>
      <c r="I97">
        <f>C97-H97</f>
        <v>4.1820444054492256E-3</v>
      </c>
      <c r="J97">
        <f t="shared" si="9"/>
        <v>4.1820444054492256E-3</v>
      </c>
      <c r="K97">
        <f t="shared" si="10"/>
        <v>2.3108587215066958</v>
      </c>
      <c r="L97">
        <f t="shared" si="11"/>
        <v>0</v>
      </c>
    </row>
    <row r="98" spans="1:12" x14ac:dyDescent="0.25">
      <c r="A98" s="1">
        <v>42681</v>
      </c>
      <c r="B98">
        <v>193</v>
      </c>
      <c r="C98">
        <v>2.2855573090077739</v>
      </c>
      <c r="D98">
        <v>0</v>
      </c>
      <c r="E98">
        <v>97</v>
      </c>
      <c r="F98">
        <f t="shared" si="6"/>
        <v>-0.74851074817110119</v>
      </c>
      <c r="G98">
        <f t="shared" si="7"/>
        <v>0.66312265824079508</v>
      </c>
      <c r="H98">
        <f t="shared" si="8"/>
        <v>2.218085395415982</v>
      </c>
      <c r="I98">
        <f>C98-H98</f>
        <v>6.7471913591791832E-2</v>
      </c>
      <c r="J98">
        <f t="shared" si="9"/>
        <v>6.7471913591791832E-2</v>
      </c>
      <c r="K98">
        <f t="shared" si="10"/>
        <v>2.3156422171142208</v>
      </c>
      <c r="L98">
        <f t="shared" si="11"/>
        <v>0</v>
      </c>
    </row>
    <row r="99" spans="1:12" x14ac:dyDescent="0.25">
      <c r="A99" s="1">
        <v>42688</v>
      </c>
      <c r="B99">
        <v>190</v>
      </c>
      <c r="C99">
        <v>2.2787536009528289</v>
      </c>
      <c r="D99">
        <v>0</v>
      </c>
      <c r="E99">
        <v>98</v>
      </c>
      <c r="F99">
        <f t="shared" si="6"/>
        <v>-0.66312265824079575</v>
      </c>
      <c r="G99">
        <f t="shared" si="7"/>
        <v>0.74851074817110064</v>
      </c>
      <c r="H99">
        <f t="shared" si="8"/>
        <v>2.2230631570434438</v>
      </c>
      <c r="I99">
        <f>C99-H99</f>
        <v>5.5690443909385046E-2</v>
      </c>
      <c r="J99">
        <f t="shared" si="9"/>
        <v>5.5690443909385046E-2</v>
      </c>
      <c r="K99">
        <f t="shared" si="10"/>
        <v>2.3206199787416826</v>
      </c>
      <c r="L99">
        <f t="shared" si="11"/>
        <v>0</v>
      </c>
    </row>
    <row r="100" spans="1:12" x14ac:dyDescent="0.25">
      <c r="A100" s="1">
        <v>42695</v>
      </c>
      <c r="B100">
        <v>186</v>
      </c>
      <c r="C100">
        <v>2.2695129442179165</v>
      </c>
      <c r="D100">
        <v>0</v>
      </c>
      <c r="E100">
        <v>99</v>
      </c>
      <c r="F100">
        <f t="shared" si="6"/>
        <v>-0.56806474673115537</v>
      </c>
      <c r="G100">
        <f t="shared" si="7"/>
        <v>0.82298386589365669</v>
      </c>
      <c r="H100">
        <f t="shared" si="8"/>
        <v>2.2281625977173709</v>
      </c>
      <c r="I100">
        <f>C100-H100</f>
        <v>4.1350346500545587E-2</v>
      </c>
      <c r="J100">
        <f t="shared" si="9"/>
        <v>4.1350346500545587E-2</v>
      </c>
      <c r="K100">
        <f t="shared" si="10"/>
        <v>2.3257194194156097</v>
      </c>
      <c r="L100">
        <f t="shared" si="11"/>
        <v>0</v>
      </c>
    </row>
    <row r="101" spans="1:12" x14ac:dyDescent="0.25">
      <c r="A101" s="1">
        <v>42702</v>
      </c>
      <c r="B101">
        <v>192</v>
      </c>
      <c r="C101">
        <v>2.2833012287035497</v>
      </c>
      <c r="D101">
        <v>0</v>
      </c>
      <c r="E101">
        <v>100</v>
      </c>
      <c r="F101">
        <f t="shared" si="6"/>
        <v>-0.46472317204376862</v>
      </c>
      <c r="G101">
        <f t="shared" si="7"/>
        <v>0.88545602565320991</v>
      </c>
      <c r="H101">
        <f t="shared" si="8"/>
        <v>2.2333093561097965</v>
      </c>
      <c r="I101">
        <f>C101-H101</f>
        <v>4.9991872593753151E-2</v>
      </c>
      <c r="J101">
        <f t="shared" si="9"/>
        <v>4.9991872593753151E-2</v>
      </c>
      <c r="K101">
        <f t="shared" si="10"/>
        <v>2.3308661778080353</v>
      </c>
      <c r="L101">
        <f t="shared" si="11"/>
        <v>0</v>
      </c>
    </row>
    <row r="102" spans="1:12" x14ac:dyDescent="0.25">
      <c r="A102" s="1">
        <v>42709</v>
      </c>
      <c r="B102">
        <v>178</v>
      </c>
      <c r="C102">
        <v>2.2504200023088941</v>
      </c>
      <c r="D102">
        <v>0</v>
      </c>
      <c r="E102">
        <v>101</v>
      </c>
      <c r="F102">
        <f t="shared" si="6"/>
        <v>-0.35460488704253618</v>
      </c>
      <c r="G102">
        <f t="shared" si="7"/>
        <v>0.93501624268541461</v>
      </c>
      <c r="H102">
        <f t="shared" si="8"/>
        <v>2.2384283808938688</v>
      </c>
      <c r="I102">
        <f>C102-H102</f>
        <v>1.19916214150253E-2</v>
      </c>
      <c r="J102">
        <f t="shared" si="9"/>
        <v>1.19916214150253E-2</v>
      </c>
      <c r="K102">
        <f t="shared" si="10"/>
        <v>2.3359852025921075</v>
      </c>
      <c r="L102">
        <f t="shared" si="11"/>
        <v>0</v>
      </c>
    </row>
    <row r="103" spans="1:12" x14ac:dyDescent="0.25">
      <c r="A103" s="1">
        <v>42716</v>
      </c>
      <c r="B103">
        <v>194</v>
      </c>
      <c r="C103">
        <v>2.287801729930226</v>
      </c>
      <c r="D103">
        <v>0</v>
      </c>
      <c r="E103">
        <v>102</v>
      </c>
      <c r="F103">
        <f t="shared" si="6"/>
        <v>-0.2393156642875589</v>
      </c>
      <c r="G103">
        <f t="shared" si="7"/>
        <v>0.97094181742605179</v>
      </c>
      <c r="H103">
        <f t="shared" si="8"/>
        <v>2.2434450251611957</v>
      </c>
      <c r="I103">
        <f>C103-H103</f>
        <v>4.4356704769030308E-2</v>
      </c>
      <c r="J103">
        <f t="shared" si="9"/>
        <v>4.4356704769030308E-2</v>
      </c>
      <c r="K103">
        <f t="shared" si="10"/>
        <v>2.3410018468594345</v>
      </c>
      <c r="L103">
        <f t="shared" si="11"/>
        <v>0</v>
      </c>
    </row>
    <row r="104" spans="1:12" x14ac:dyDescent="0.25">
      <c r="A104" s="1">
        <v>42723</v>
      </c>
      <c r="B104">
        <v>158</v>
      </c>
      <c r="C104">
        <v>2.1986570869544226</v>
      </c>
      <c r="D104">
        <v>0</v>
      </c>
      <c r="E104">
        <v>103</v>
      </c>
      <c r="F104">
        <f t="shared" si="6"/>
        <v>-0.12053668025532475</v>
      </c>
      <c r="G104">
        <f t="shared" si="7"/>
        <v>0.99270887409805375</v>
      </c>
      <c r="H104">
        <f t="shared" si="8"/>
        <v>2.248286134941861</v>
      </c>
      <c r="I104">
        <f>C104-H104</f>
        <v>-4.9629047987438391E-2</v>
      </c>
      <c r="J104">
        <f t="shared" si="9"/>
        <v>-4.9629047987438391E-2</v>
      </c>
      <c r="K104">
        <f t="shared" si="10"/>
        <v>2.3458429566400998</v>
      </c>
      <c r="L104">
        <f t="shared" si="11"/>
        <v>0</v>
      </c>
    </row>
    <row r="105" spans="1:12" x14ac:dyDescent="0.25">
      <c r="A105" s="1">
        <v>42730</v>
      </c>
      <c r="B105">
        <v>221</v>
      </c>
      <c r="C105">
        <v>2.3443922736851106</v>
      </c>
      <c r="D105">
        <v>0</v>
      </c>
      <c r="E105">
        <v>104</v>
      </c>
      <c r="F105">
        <f t="shared" si="6"/>
        <v>1.2862974574368025E-15</v>
      </c>
      <c r="G105">
        <f t="shared" si="7"/>
        <v>1</v>
      </c>
      <c r="H105">
        <f t="shared" si="8"/>
        <v>2.2528811159540325</v>
      </c>
      <c r="I105">
        <f>C105-H105</f>
        <v>9.1511157731078097E-2</v>
      </c>
      <c r="J105">
        <f t="shared" si="9"/>
        <v>9.1511157731078097E-2</v>
      </c>
      <c r="K105">
        <f t="shared" si="10"/>
        <v>2.3504379376522713</v>
      </c>
      <c r="L105">
        <f t="shared" si="11"/>
        <v>0</v>
      </c>
    </row>
    <row r="106" spans="1:12" x14ac:dyDescent="0.25">
      <c r="A106" s="1">
        <v>42737</v>
      </c>
      <c r="B106">
        <v>198</v>
      </c>
      <c r="C106">
        <v>2.2966651902615309</v>
      </c>
      <c r="D106">
        <v>0</v>
      </c>
      <c r="E106">
        <v>105</v>
      </c>
      <c r="F106">
        <f t="shared" si="6"/>
        <v>0.12053668025532378</v>
      </c>
      <c r="G106">
        <f t="shared" si="7"/>
        <v>0.99270887409805386</v>
      </c>
      <c r="H106">
        <f t="shared" si="8"/>
        <v>2.2571629630275569</v>
      </c>
      <c r="I106">
        <f>C106-H106</f>
        <v>3.9502227233974008E-2</v>
      </c>
      <c r="J106">
        <f t="shared" si="9"/>
        <v>3.9502227233974008E-2</v>
      </c>
      <c r="K106">
        <f t="shared" si="10"/>
        <v>2.3547197847257957</v>
      </c>
      <c r="L106">
        <f t="shared" si="11"/>
        <v>0</v>
      </c>
    </row>
    <row r="107" spans="1:12" x14ac:dyDescent="0.25">
      <c r="A107" s="1">
        <v>42744</v>
      </c>
      <c r="B107">
        <v>229</v>
      </c>
      <c r="C107">
        <v>2.3598354823398879</v>
      </c>
      <c r="D107">
        <v>0</v>
      </c>
      <c r="E107">
        <v>106</v>
      </c>
      <c r="F107">
        <f t="shared" si="6"/>
        <v>0.23931566428755793</v>
      </c>
      <c r="G107">
        <f t="shared" si="7"/>
        <v>0.97094181742605201</v>
      </c>
      <c r="H107">
        <f t="shared" si="8"/>
        <v>2.2610692371902217</v>
      </c>
      <c r="I107">
        <f>C107-H107</f>
        <v>9.8766245149666254E-2</v>
      </c>
      <c r="J107">
        <f t="shared" si="9"/>
        <v>9.8766245149666254E-2</v>
      </c>
      <c r="K107">
        <f t="shared" si="10"/>
        <v>2.3586260588884604</v>
      </c>
      <c r="L107">
        <f t="shared" si="11"/>
        <v>0.63683215719066766</v>
      </c>
    </row>
    <row r="108" spans="1:12" x14ac:dyDescent="0.25">
      <c r="A108" s="1">
        <v>42751</v>
      </c>
      <c r="B108">
        <v>217</v>
      </c>
      <c r="C108">
        <v>2.3364597338485296</v>
      </c>
      <c r="D108">
        <v>0</v>
      </c>
      <c r="E108">
        <v>107</v>
      </c>
      <c r="F108">
        <f t="shared" si="6"/>
        <v>0.35460488704253529</v>
      </c>
      <c r="G108">
        <f t="shared" si="7"/>
        <v>0.93501624268541494</v>
      </c>
      <c r="H108">
        <f t="shared" si="8"/>
        <v>2.2645429761685718</v>
      </c>
      <c r="I108">
        <f>C108-H108</f>
        <v>7.1916757679957755E-2</v>
      </c>
      <c r="J108">
        <f t="shared" si="9"/>
        <v>7.1916757679957755E-2</v>
      </c>
      <c r="K108">
        <f t="shared" si="10"/>
        <v>2.3620997978668106</v>
      </c>
      <c r="L108">
        <f t="shared" si="11"/>
        <v>0</v>
      </c>
    </row>
    <row r="109" spans="1:12" x14ac:dyDescent="0.25">
      <c r="A109" s="1">
        <v>42758</v>
      </c>
      <c r="B109">
        <v>219</v>
      </c>
      <c r="C109">
        <v>2.3404441148401185</v>
      </c>
      <c r="D109">
        <v>0</v>
      </c>
      <c r="E109">
        <v>108</v>
      </c>
      <c r="F109">
        <f t="shared" si="6"/>
        <v>0.46472317204376773</v>
      </c>
      <c r="G109">
        <f t="shared" si="7"/>
        <v>0.88545602565321035</v>
      </c>
      <c r="H109">
        <f t="shared" si="8"/>
        <v>2.2675335250261255</v>
      </c>
      <c r="I109">
        <f>C109-H109</f>
        <v>7.291058981399301E-2</v>
      </c>
      <c r="J109">
        <f t="shared" si="9"/>
        <v>7.291058981399301E-2</v>
      </c>
      <c r="K109">
        <f t="shared" si="10"/>
        <v>2.3650903467243642</v>
      </c>
      <c r="L109">
        <f t="shared" si="11"/>
        <v>0</v>
      </c>
    </row>
    <row r="110" spans="1:12" x14ac:dyDescent="0.25">
      <c r="A110" s="1">
        <v>42765</v>
      </c>
      <c r="B110">
        <v>220</v>
      </c>
      <c r="C110">
        <v>2.3424226808222062</v>
      </c>
      <c r="D110">
        <v>0</v>
      </c>
      <c r="E110">
        <v>109</v>
      </c>
      <c r="F110">
        <f t="shared" si="6"/>
        <v>0.56806474673115459</v>
      </c>
      <c r="G110">
        <f t="shared" si="7"/>
        <v>0.82298386589365724</v>
      </c>
      <c r="H110">
        <f t="shared" si="8"/>
        <v>2.2699972748264079</v>
      </c>
      <c r="I110">
        <f>C110-H110</f>
        <v>7.2425405995798275E-2</v>
      </c>
      <c r="J110">
        <f t="shared" si="9"/>
        <v>7.2425405995798275E-2</v>
      </c>
      <c r="K110">
        <f t="shared" si="10"/>
        <v>2.3675540965246467</v>
      </c>
      <c r="L110">
        <f t="shared" si="11"/>
        <v>0</v>
      </c>
    </row>
    <row r="111" spans="1:12" x14ac:dyDescent="0.25">
      <c r="A111" s="1">
        <v>42772</v>
      </c>
      <c r="B111">
        <v>183</v>
      </c>
      <c r="C111">
        <v>2.2624510897304293</v>
      </c>
      <c r="D111">
        <v>0</v>
      </c>
      <c r="E111">
        <v>110</v>
      </c>
      <c r="F111">
        <f t="shared" si="6"/>
        <v>0.66312265824079497</v>
      </c>
      <c r="G111">
        <f t="shared" si="7"/>
        <v>0.7485107481711013</v>
      </c>
      <c r="H111">
        <f t="shared" si="8"/>
        <v>2.2718982985494516</v>
      </c>
      <c r="I111">
        <f>C111-H111</f>
        <v>-9.4472088190222792E-3</v>
      </c>
      <c r="J111">
        <f t="shared" si="9"/>
        <v>-9.4472088190222792E-3</v>
      </c>
      <c r="K111">
        <f t="shared" si="10"/>
        <v>2.3694551202476903</v>
      </c>
      <c r="L111">
        <f t="shared" si="11"/>
        <v>0</v>
      </c>
    </row>
    <row r="112" spans="1:12" x14ac:dyDescent="0.25">
      <c r="A112" s="1">
        <v>42779</v>
      </c>
      <c r="B112">
        <v>194</v>
      </c>
      <c r="C112">
        <v>2.287801729930226</v>
      </c>
      <c r="D112">
        <v>0</v>
      </c>
      <c r="E112">
        <v>111</v>
      </c>
      <c r="F112">
        <f t="shared" si="6"/>
        <v>0.74851074817110053</v>
      </c>
      <c r="G112">
        <f t="shared" si="7"/>
        <v>0.66312265824079575</v>
      </c>
      <c r="H112">
        <f t="shared" si="8"/>
        <v>2.2732088749886397</v>
      </c>
      <c r="I112">
        <f>C112-H112</f>
        <v>1.4592854941586353E-2</v>
      </c>
      <c r="J112">
        <f t="shared" si="9"/>
        <v>1.4592854941586353E-2</v>
      </c>
      <c r="K112">
        <f t="shared" si="10"/>
        <v>2.3707656966868784</v>
      </c>
      <c r="L112">
        <f t="shared" si="11"/>
        <v>0</v>
      </c>
    </row>
    <row r="113" spans="1:12" x14ac:dyDescent="0.25">
      <c r="A113" s="1">
        <v>42786</v>
      </c>
      <c r="B113">
        <v>197</v>
      </c>
      <c r="C113">
        <v>2.2944662261615929</v>
      </c>
      <c r="D113">
        <v>0</v>
      </c>
      <c r="E113">
        <v>112</v>
      </c>
      <c r="F113">
        <f t="shared" si="6"/>
        <v>0.82298386589365558</v>
      </c>
      <c r="G113">
        <f t="shared" si="7"/>
        <v>0.56806474673115692</v>
      </c>
      <c r="H113">
        <f t="shared" si="8"/>
        <v>2.2739098929883297</v>
      </c>
      <c r="I113">
        <f>C113-H113</f>
        <v>2.0556333173263219E-2</v>
      </c>
      <c r="J113">
        <f t="shared" si="9"/>
        <v>2.0556333173263219E-2</v>
      </c>
      <c r="K113">
        <f t="shared" si="10"/>
        <v>2.3714667146865684</v>
      </c>
      <c r="L113">
        <f t="shared" si="11"/>
        <v>0</v>
      </c>
    </row>
    <row r="114" spans="1:12" x14ac:dyDescent="0.25">
      <c r="A114" s="1">
        <v>42793</v>
      </c>
      <c r="B114">
        <v>187</v>
      </c>
      <c r="C114">
        <v>2.271841606536499</v>
      </c>
      <c r="D114">
        <v>0</v>
      </c>
      <c r="E114">
        <v>113</v>
      </c>
      <c r="F114">
        <f t="shared" si="6"/>
        <v>0.8854560256532098</v>
      </c>
      <c r="G114">
        <f t="shared" si="7"/>
        <v>0.46472317204376867</v>
      </c>
      <c r="H114">
        <f t="shared" si="8"/>
        <v>2.2739911301275306</v>
      </c>
      <c r="I114">
        <f>C114-H114</f>
        <v>-2.1495235910315991E-3</v>
      </c>
      <c r="J114">
        <f t="shared" si="9"/>
        <v>-2.1495235910315991E-3</v>
      </c>
      <c r="K114">
        <f t="shared" si="10"/>
        <v>2.3715479518257694</v>
      </c>
      <c r="L114">
        <f t="shared" si="11"/>
        <v>0</v>
      </c>
    </row>
    <row r="115" spans="1:12" x14ac:dyDescent="0.25">
      <c r="A115" s="1">
        <v>42800</v>
      </c>
      <c r="B115">
        <v>195</v>
      </c>
      <c r="C115">
        <v>2.2900346113625178</v>
      </c>
      <c r="D115">
        <v>0</v>
      </c>
      <c r="E115">
        <v>114</v>
      </c>
      <c r="F115">
        <f t="shared" si="6"/>
        <v>0.93501624268541461</v>
      </c>
      <c r="G115">
        <f t="shared" si="7"/>
        <v>0.35460488704253623</v>
      </c>
      <c r="H115">
        <f t="shared" si="8"/>
        <v>2.2734514017858221</v>
      </c>
      <c r="I115">
        <f>C115-H115</f>
        <v>1.658320957669579E-2</v>
      </c>
      <c r="J115">
        <f t="shared" si="9"/>
        <v>1.658320957669579E-2</v>
      </c>
      <c r="K115">
        <f t="shared" si="10"/>
        <v>2.3710082234840608</v>
      </c>
      <c r="L115">
        <f t="shared" si="11"/>
        <v>0</v>
      </c>
    </row>
    <row r="116" spans="1:12" x14ac:dyDescent="0.25">
      <c r="A116" s="1">
        <v>42807</v>
      </c>
      <c r="B116">
        <v>178</v>
      </c>
      <c r="C116">
        <v>2.2504200023088941</v>
      </c>
      <c r="D116">
        <v>0</v>
      </c>
      <c r="E116">
        <v>115</v>
      </c>
      <c r="F116">
        <f t="shared" si="6"/>
        <v>0.97094181742605212</v>
      </c>
      <c r="G116">
        <f t="shared" si="7"/>
        <v>0.23931566428755724</v>
      </c>
      <c r="H116">
        <f t="shared" si="8"/>
        <v>2.2722985784177894</v>
      </c>
      <c r="I116">
        <f>C116-H116</f>
        <v>-2.187857610889532E-2</v>
      </c>
      <c r="J116">
        <f t="shared" si="9"/>
        <v>-2.187857610889532E-2</v>
      </c>
      <c r="K116">
        <f t="shared" si="10"/>
        <v>2.3698554001160281</v>
      </c>
      <c r="L116">
        <f t="shared" si="11"/>
        <v>0</v>
      </c>
    </row>
    <row r="117" spans="1:12" x14ac:dyDescent="0.25">
      <c r="A117" s="1">
        <v>42814</v>
      </c>
      <c r="B117">
        <v>164</v>
      </c>
      <c r="C117">
        <v>2.214843848047698</v>
      </c>
      <c r="D117">
        <v>0</v>
      </c>
      <c r="E117">
        <v>116</v>
      </c>
      <c r="F117">
        <f t="shared" si="6"/>
        <v>0.99270887409805397</v>
      </c>
      <c r="G117">
        <f t="shared" si="7"/>
        <v>0.12053668025532305</v>
      </c>
      <c r="H117">
        <f t="shared" si="8"/>
        <v>2.2705494707840699</v>
      </c>
      <c r="I117">
        <f>C117-H117</f>
        <v>-5.5705622736371918E-2</v>
      </c>
      <c r="J117">
        <f t="shared" si="9"/>
        <v>-5.5705622736371918E-2</v>
      </c>
      <c r="K117">
        <f t="shared" si="10"/>
        <v>2.3681062924823086</v>
      </c>
      <c r="L117">
        <f t="shared" si="11"/>
        <v>0</v>
      </c>
    </row>
    <row r="118" spans="1:12" x14ac:dyDescent="0.25">
      <c r="A118" s="1">
        <v>42821</v>
      </c>
      <c r="B118">
        <v>164</v>
      </c>
      <c r="C118">
        <v>2.214843848047698</v>
      </c>
      <c r="D118">
        <v>0</v>
      </c>
      <c r="E118">
        <v>117</v>
      </c>
      <c r="F118">
        <f t="shared" si="6"/>
        <v>1</v>
      </c>
      <c r="G118">
        <f t="shared" si="7"/>
        <v>5.51316804708879E-16</v>
      </c>
      <c r="H118">
        <f t="shared" si="8"/>
        <v>2.2682295848126106</v>
      </c>
      <c r="I118">
        <f>C118-H118</f>
        <v>-5.338573676491265E-2</v>
      </c>
      <c r="J118">
        <f t="shared" si="9"/>
        <v>-5.338573676491265E-2</v>
      </c>
      <c r="K118">
        <f t="shared" si="10"/>
        <v>2.3657864065108494</v>
      </c>
      <c r="L118">
        <f t="shared" si="11"/>
        <v>0</v>
      </c>
    </row>
    <row r="119" spans="1:12" x14ac:dyDescent="0.25">
      <c r="A119" s="1">
        <v>42828</v>
      </c>
      <c r="B119">
        <v>147</v>
      </c>
      <c r="C119">
        <v>2.167317334748176</v>
      </c>
      <c r="D119">
        <v>0</v>
      </c>
      <c r="E119">
        <v>118</v>
      </c>
      <c r="F119">
        <f t="shared" si="6"/>
        <v>0.99270887409805408</v>
      </c>
      <c r="G119">
        <f t="shared" si="7"/>
        <v>-0.12053668025532197</v>
      </c>
      <c r="H119">
        <f t="shared" si="8"/>
        <v>2.2653727496648046</v>
      </c>
      <c r="I119">
        <f>C119-H119</f>
        <v>-9.8055414916628614E-2</v>
      </c>
      <c r="J119">
        <f t="shared" si="9"/>
        <v>-9.8055414916628614E-2</v>
      </c>
      <c r="K119">
        <f t="shared" si="10"/>
        <v>2.3629295713630434</v>
      </c>
      <c r="L119">
        <f t="shared" si="11"/>
        <v>0</v>
      </c>
    </row>
    <row r="120" spans="1:12" x14ac:dyDescent="0.25">
      <c r="A120" s="1">
        <v>42835</v>
      </c>
      <c r="B120">
        <v>149</v>
      </c>
      <c r="C120">
        <v>2.173186268412274</v>
      </c>
      <c r="D120">
        <v>0</v>
      </c>
      <c r="E120">
        <v>119</v>
      </c>
      <c r="F120">
        <f t="shared" si="6"/>
        <v>0.97094181742605246</v>
      </c>
      <c r="G120">
        <f t="shared" si="7"/>
        <v>-0.23931566428755616</v>
      </c>
      <c r="H120">
        <f t="shared" si="8"/>
        <v>2.2620206244301384</v>
      </c>
      <c r="I120">
        <f>C120-H120</f>
        <v>-8.883435601786438E-2</v>
      </c>
      <c r="J120">
        <f t="shared" si="9"/>
        <v>-8.883435601786438E-2</v>
      </c>
      <c r="K120">
        <f t="shared" si="10"/>
        <v>2.3595774461283772</v>
      </c>
      <c r="L120">
        <f t="shared" si="11"/>
        <v>0</v>
      </c>
    </row>
    <row r="121" spans="1:12" x14ac:dyDescent="0.25">
      <c r="A121" s="1">
        <v>42842</v>
      </c>
      <c r="B121">
        <v>155</v>
      </c>
      <c r="C121">
        <v>2.1903316981702914</v>
      </c>
      <c r="D121">
        <v>0</v>
      </c>
      <c r="E121">
        <v>120</v>
      </c>
      <c r="F121">
        <f t="shared" si="6"/>
        <v>0.93501624268541561</v>
      </c>
      <c r="G121">
        <f t="shared" si="7"/>
        <v>-0.35460488704253357</v>
      </c>
      <c r="H121">
        <f t="shared" si="8"/>
        <v>2.2582220906428629</v>
      </c>
      <c r="I121">
        <f>C121-H121</f>
        <v>-6.7890392472571559E-2</v>
      </c>
      <c r="J121">
        <f t="shared" si="9"/>
        <v>-6.7890392472571559E-2</v>
      </c>
      <c r="K121">
        <f t="shared" si="10"/>
        <v>2.3557789123411017</v>
      </c>
      <c r="L121">
        <f t="shared" si="11"/>
        <v>0</v>
      </c>
    </row>
    <row r="122" spans="1:12" x14ac:dyDescent="0.25">
      <c r="A122" s="1">
        <v>42849</v>
      </c>
      <c r="B122">
        <v>155</v>
      </c>
      <c r="C122">
        <v>2.1903316981702914</v>
      </c>
      <c r="D122">
        <v>0</v>
      </c>
      <c r="E122">
        <v>121</v>
      </c>
      <c r="F122">
        <f t="shared" si="6"/>
        <v>0.88545602565320958</v>
      </c>
      <c r="G122">
        <f t="shared" si="7"/>
        <v>-0.46472317204376923</v>
      </c>
      <c r="H122">
        <f t="shared" si="8"/>
        <v>2.2540325394791489</v>
      </c>
      <c r="I122">
        <f>C122-H122</f>
        <v>-6.3700841308857559E-2</v>
      </c>
      <c r="J122">
        <f t="shared" si="9"/>
        <v>-6.3700841308857559E-2</v>
      </c>
      <c r="K122">
        <f t="shared" si="10"/>
        <v>2.3515893611773877</v>
      </c>
      <c r="L122">
        <f t="shared" si="11"/>
        <v>0</v>
      </c>
    </row>
    <row r="123" spans="1:12" x14ac:dyDescent="0.25">
      <c r="A123" s="1">
        <v>42856</v>
      </c>
      <c r="B123">
        <v>179</v>
      </c>
      <c r="C123">
        <v>2.2528530309798933</v>
      </c>
      <c r="D123">
        <v>0</v>
      </c>
      <c r="E123">
        <v>122</v>
      </c>
      <c r="F123">
        <f t="shared" si="6"/>
        <v>0.82298386589365624</v>
      </c>
      <c r="G123">
        <f t="shared" si="7"/>
        <v>-0.56806474673115603</v>
      </c>
      <c r="H123">
        <f t="shared" si="8"/>
        <v>2.2495130640290113</v>
      </c>
      <c r="I123">
        <f>C123-H123</f>
        <v>3.3399669508820118E-3</v>
      </c>
      <c r="J123">
        <f t="shared" si="9"/>
        <v>3.3399669508820118E-3</v>
      </c>
      <c r="K123">
        <f t="shared" si="10"/>
        <v>2.3470698857272501</v>
      </c>
      <c r="L123">
        <f t="shared" si="11"/>
        <v>0</v>
      </c>
    </row>
    <row r="124" spans="1:12" x14ac:dyDescent="0.25">
      <c r="A124" s="1">
        <v>42863</v>
      </c>
      <c r="B124">
        <v>176</v>
      </c>
      <c r="C124">
        <v>2.2455126678141499</v>
      </c>
      <c r="D124">
        <v>0</v>
      </c>
      <c r="E124">
        <v>123</v>
      </c>
      <c r="F124">
        <f t="shared" si="6"/>
        <v>0.7485107481711013</v>
      </c>
      <c r="G124">
        <f t="shared" si="7"/>
        <v>-0.66312265824079497</v>
      </c>
      <c r="H124">
        <f t="shared" si="8"/>
        <v>2.2447295684214863</v>
      </c>
      <c r="I124">
        <f>C124-H124</f>
        <v>7.8309939266363315E-4</v>
      </c>
      <c r="J124">
        <f t="shared" si="9"/>
        <v>7.8309939266363315E-4</v>
      </c>
      <c r="K124">
        <f t="shared" si="10"/>
        <v>2.3422863901197251</v>
      </c>
      <c r="L124">
        <f t="shared" si="11"/>
        <v>0</v>
      </c>
    </row>
    <row r="125" spans="1:12" x14ac:dyDescent="0.25">
      <c r="A125" s="1">
        <v>42870</v>
      </c>
      <c r="B125">
        <v>174</v>
      </c>
      <c r="C125">
        <v>2.2405492482825999</v>
      </c>
      <c r="D125">
        <v>0</v>
      </c>
      <c r="E125">
        <v>124</v>
      </c>
      <c r="F125">
        <f t="shared" si="6"/>
        <v>0.66312265824079586</v>
      </c>
      <c r="G125">
        <f t="shared" si="7"/>
        <v>-0.74851074817110053</v>
      </c>
      <c r="H125">
        <f t="shared" si="8"/>
        <v>2.2397518067940245</v>
      </c>
      <c r="I125">
        <f>C125-H125</f>
        <v>7.9744148857541219E-4</v>
      </c>
      <c r="J125">
        <f t="shared" si="9"/>
        <v>7.9744148857541219E-4</v>
      </c>
      <c r="K125">
        <f t="shared" si="10"/>
        <v>2.3373086284922633</v>
      </c>
      <c r="L125">
        <f t="shared" si="11"/>
        <v>0</v>
      </c>
    </row>
    <row r="126" spans="1:12" x14ac:dyDescent="0.25">
      <c r="A126" s="1">
        <v>42877</v>
      </c>
      <c r="B126">
        <v>144</v>
      </c>
      <c r="C126">
        <v>2.1583624920952498</v>
      </c>
      <c r="D126">
        <v>0</v>
      </c>
      <c r="E126">
        <v>125</v>
      </c>
      <c r="F126">
        <f t="shared" si="6"/>
        <v>0.56806474673115692</v>
      </c>
      <c r="G126">
        <f t="shared" si="7"/>
        <v>-0.82298386589365558</v>
      </c>
      <c r="H126">
        <f t="shared" si="8"/>
        <v>2.2346523661200974</v>
      </c>
      <c r="I126">
        <f>C126-H126</f>
        <v>-7.6289874024847659E-2</v>
      </c>
      <c r="J126">
        <f t="shared" si="9"/>
        <v>-7.6289874024847659E-2</v>
      </c>
      <c r="K126">
        <f t="shared" si="10"/>
        <v>2.3322091878183362</v>
      </c>
      <c r="L126">
        <f t="shared" si="11"/>
        <v>0</v>
      </c>
    </row>
    <row r="127" spans="1:12" x14ac:dyDescent="0.25">
      <c r="A127" s="1">
        <v>42884</v>
      </c>
      <c r="B127">
        <v>173</v>
      </c>
      <c r="C127">
        <v>2.2380461031287955</v>
      </c>
      <c r="D127">
        <v>0</v>
      </c>
      <c r="E127">
        <v>126</v>
      </c>
      <c r="F127">
        <f t="shared" si="6"/>
        <v>0.46472317204376873</v>
      </c>
      <c r="G127">
        <f t="shared" si="7"/>
        <v>-0.8854560256532098</v>
      </c>
      <c r="H127">
        <f t="shared" si="8"/>
        <v>2.2295056077276718</v>
      </c>
      <c r="I127">
        <f>C127-H127</f>
        <v>8.5404954011236711E-3</v>
      </c>
      <c r="J127">
        <f t="shared" si="9"/>
        <v>8.5404954011236711E-3</v>
      </c>
      <c r="K127">
        <f t="shared" si="10"/>
        <v>2.3270624294259106</v>
      </c>
      <c r="L127">
        <f t="shared" si="11"/>
        <v>0</v>
      </c>
    </row>
    <row r="128" spans="1:12" x14ac:dyDescent="0.25">
      <c r="A128" s="1">
        <v>42891</v>
      </c>
      <c r="B128">
        <v>131</v>
      </c>
      <c r="C128">
        <v>2.1172712956557644</v>
      </c>
      <c r="D128">
        <v>0</v>
      </c>
      <c r="E128">
        <v>127</v>
      </c>
      <c r="F128">
        <f t="shared" si="6"/>
        <v>0.35460488704253629</v>
      </c>
      <c r="G128">
        <f t="shared" si="7"/>
        <v>-0.93501624268541461</v>
      </c>
      <c r="H128">
        <f t="shared" si="8"/>
        <v>2.2243865829435996</v>
      </c>
      <c r="I128">
        <f>C128-H128</f>
        <v>-0.10711528728783515</v>
      </c>
      <c r="J128">
        <f t="shared" si="9"/>
        <v>-0.10711528728783515</v>
      </c>
      <c r="K128">
        <f t="shared" si="10"/>
        <v>2.3219434046418383</v>
      </c>
      <c r="L128">
        <f t="shared" si="11"/>
        <v>0</v>
      </c>
    </row>
    <row r="129" spans="1:12" x14ac:dyDescent="0.25">
      <c r="A129" s="1">
        <v>42898</v>
      </c>
      <c r="B129">
        <v>156</v>
      </c>
      <c r="C129">
        <v>2.1931245983544616</v>
      </c>
      <c r="D129">
        <v>0</v>
      </c>
      <c r="E129">
        <v>128</v>
      </c>
      <c r="F129">
        <f t="shared" si="6"/>
        <v>0.23931566428755902</v>
      </c>
      <c r="G129">
        <f t="shared" si="7"/>
        <v>-0.97094181742605168</v>
      </c>
      <c r="H129">
        <f t="shared" si="8"/>
        <v>2.2193699386762726</v>
      </c>
      <c r="I129">
        <f>C129-H129</f>
        <v>-2.6245340321811028E-2</v>
      </c>
      <c r="J129">
        <f t="shared" si="9"/>
        <v>-2.6245340321811028E-2</v>
      </c>
      <c r="K129">
        <f t="shared" si="10"/>
        <v>2.3169267603745114</v>
      </c>
      <c r="L129">
        <f t="shared" si="11"/>
        <v>0</v>
      </c>
    </row>
    <row r="130" spans="1:12" x14ac:dyDescent="0.25">
      <c r="A130" s="1">
        <v>42905</v>
      </c>
      <c r="B130">
        <v>182</v>
      </c>
      <c r="C130">
        <v>2.2600713879850747</v>
      </c>
      <c r="D130">
        <v>0</v>
      </c>
      <c r="E130">
        <v>129</v>
      </c>
      <c r="F130">
        <f t="shared" si="6"/>
        <v>0.12053668025532488</v>
      </c>
      <c r="G130">
        <f t="shared" si="7"/>
        <v>-0.99270887409805375</v>
      </c>
      <c r="H130">
        <f t="shared" si="8"/>
        <v>2.2145288288956073</v>
      </c>
      <c r="I130">
        <f>C130-H130</f>
        <v>4.554255908946736E-2</v>
      </c>
      <c r="J130">
        <f t="shared" si="9"/>
        <v>4.554255908946736E-2</v>
      </c>
      <c r="K130">
        <f t="shared" si="10"/>
        <v>2.3120856505938461</v>
      </c>
      <c r="L130">
        <f t="shared" si="11"/>
        <v>0</v>
      </c>
    </row>
    <row r="131" spans="1:12" x14ac:dyDescent="0.25">
      <c r="A131" s="1">
        <v>42912</v>
      </c>
      <c r="B131">
        <v>166</v>
      </c>
      <c r="C131">
        <v>2.220108088040055</v>
      </c>
      <c r="D131">
        <v>0</v>
      </c>
      <c r="E131">
        <v>130</v>
      </c>
      <c r="F131">
        <f t="shared" ref="F131:F194" si="12">SIN(2*PI()*E131/52)</f>
        <v>6.1257422745431001E-16</v>
      </c>
      <c r="G131">
        <f t="shared" ref="G131:G194" si="13">COS(2*PI()*E131/52)</f>
        <v>-1</v>
      </c>
      <c r="H131">
        <f t="shared" ref="H131:H194" si="14">$P$2+$N$2*F131+$O$2*G131</f>
        <v>2.2099338478834358</v>
      </c>
      <c r="I131">
        <f>C131-H131</f>
        <v>1.0174240156619163E-2</v>
      </c>
      <c r="J131">
        <f t="shared" ref="J131:J194" si="15">IF(D131,"",I131)</f>
        <v>1.0174240156619163E-2</v>
      </c>
      <c r="K131">
        <f t="shared" ref="K131:K194" si="16">H131+$S$2</f>
        <v>2.3074906695816746</v>
      </c>
      <c r="L131">
        <f t="shared" ref="L131:L194" si="17">IF(C131-K131&gt;0,10^C131-10^K131,0)</f>
        <v>0</v>
      </c>
    </row>
    <row r="132" spans="1:12" x14ac:dyDescent="0.25">
      <c r="A132" s="1">
        <v>42919</v>
      </c>
      <c r="B132">
        <v>180</v>
      </c>
      <c r="C132">
        <v>2.255272505103306</v>
      </c>
      <c r="D132">
        <v>0</v>
      </c>
      <c r="E132">
        <v>131</v>
      </c>
      <c r="F132">
        <f t="shared" si="12"/>
        <v>-0.12053668025532366</v>
      </c>
      <c r="G132">
        <f t="shared" si="13"/>
        <v>-0.99270887409805397</v>
      </c>
      <c r="H132">
        <f t="shared" si="14"/>
        <v>2.2056520008099114</v>
      </c>
      <c r="I132">
        <f>C132-H132</f>
        <v>4.9620504293394596E-2</v>
      </c>
      <c r="J132">
        <f t="shared" si="15"/>
        <v>4.9620504293394596E-2</v>
      </c>
      <c r="K132">
        <f t="shared" si="16"/>
        <v>2.3032088225081502</v>
      </c>
      <c r="L132">
        <f t="shared" si="17"/>
        <v>0</v>
      </c>
    </row>
    <row r="133" spans="1:12" x14ac:dyDescent="0.25">
      <c r="A133" s="1">
        <v>42926</v>
      </c>
      <c r="B133">
        <v>185</v>
      </c>
      <c r="C133">
        <v>2.2671717284030137</v>
      </c>
      <c r="D133">
        <v>0</v>
      </c>
      <c r="E133">
        <v>132</v>
      </c>
      <c r="F133">
        <f t="shared" si="12"/>
        <v>-0.23931566428755782</v>
      </c>
      <c r="G133">
        <f t="shared" si="13"/>
        <v>-0.97094181742605201</v>
      </c>
      <c r="H133">
        <f t="shared" si="14"/>
        <v>2.2017457266472467</v>
      </c>
      <c r="I133">
        <f>C133-H133</f>
        <v>6.5426001755767071E-2</v>
      </c>
      <c r="J133">
        <f t="shared" si="15"/>
        <v>6.5426001755767071E-2</v>
      </c>
      <c r="K133">
        <f t="shared" si="16"/>
        <v>2.2993025483454854</v>
      </c>
      <c r="L133">
        <f t="shared" si="17"/>
        <v>0</v>
      </c>
    </row>
    <row r="134" spans="1:12" x14ac:dyDescent="0.25">
      <c r="A134" s="1">
        <v>42933</v>
      </c>
      <c r="B134">
        <v>159</v>
      </c>
      <c r="C134">
        <v>2.2013971243204513</v>
      </c>
      <c r="D134">
        <v>0</v>
      </c>
      <c r="E134">
        <v>133</v>
      </c>
      <c r="F134">
        <f t="shared" si="12"/>
        <v>-0.35460488704253518</v>
      </c>
      <c r="G134">
        <f t="shared" si="13"/>
        <v>-0.93501624268541494</v>
      </c>
      <c r="H134">
        <f t="shared" si="14"/>
        <v>2.1982719876688965</v>
      </c>
      <c r="I134">
        <f>C134-H134</f>
        <v>3.1251366515547829E-3</v>
      </c>
      <c r="J134">
        <f t="shared" si="15"/>
        <v>3.1251366515547829E-3</v>
      </c>
      <c r="K134">
        <f t="shared" si="16"/>
        <v>2.2958288093671353</v>
      </c>
      <c r="L134">
        <f t="shared" si="17"/>
        <v>0</v>
      </c>
    </row>
    <row r="135" spans="1:12" x14ac:dyDescent="0.25">
      <c r="A135" s="1">
        <v>42940</v>
      </c>
      <c r="B135">
        <v>139</v>
      </c>
      <c r="C135">
        <v>2.143014800254095</v>
      </c>
      <c r="D135">
        <v>0</v>
      </c>
      <c r="E135">
        <v>134</v>
      </c>
      <c r="F135">
        <f t="shared" si="12"/>
        <v>-0.46472317204376917</v>
      </c>
      <c r="G135">
        <f t="shared" si="13"/>
        <v>-0.88545602565320958</v>
      </c>
      <c r="H135">
        <f t="shared" si="14"/>
        <v>2.1952814388113429</v>
      </c>
      <c r="I135">
        <f>C135-H135</f>
        <v>-5.2266638557247891E-2</v>
      </c>
      <c r="J135">
        <f t="shared" si="15"/>
        <v>-5.2266638557247891E-2</v>
      </c>
      <c r="K135">
        <f t="shared" si="16"/>
        <v>2.2928382605095816</v>
      </c>
      <c r="L135">
        <f t="shared" si="17"/>
        <v>0</v>
      </c>
    </row>
    <row r="136" spans="1:12" x14ac:dyDescent="0.25">
      <c r="A136" s="1">
        <v>42947</v>
      </c>
      <c r="B136">
        <v>158</v>
      </c>
      <c r="C136">
        <v>2.1986570869544226</v>
      </c>
      <c r="D136">
        <v>0</v>
      </c>
      <c r="E136">
        <v>135</v>
      </c>
      <c r="F136">
        <f t="shared" si="12"/>
        <v>-0.56806474673115448</v>
      </c>
      <c r="G136">
        <f t="shared" si="13"/>
        <v>-0.82298386589365735</v>
      </c>
      <c r="H136">
        <f t="shared" si="14"/>
        <v>2.1928176890110604</v>
      </c>
      <c r="I136">
        <f>C136-H136</f>
        <v>5.8393979433621901E-3</v>
      </c>
      <c r="J136">
        <f t="shared" si="15"/>
        <v>5.8393979433621901E-3</v>
      </c>
      <c r="K136">
        <f t="shared" si="16"/>
        <v>2.2903745107092992</v>
      </c>
      <c r="L136">
        <f t="shared" si="17"/>
        <v>0</v>
      </c>
    </row>
    <row r="137" spans="1:12" x14ac:dyDescent="0.25">
      <c r="A137" s="1">
        <v>42954</v>
      </c>
      <c r="B137">
        <v>162</v>
      </c>
      <c r="C137">
        <v>2.2095150145426308</v>
      </c>
      <c r="D137">
        <v>0</v>
      </c>
      <c r="E137">
        <v>136</v>
      </c>
      <c r="F137">
        <f t="shared" si="12"/>
        <v>-0.66312265824079497</v>
      </c>
      <c r="G137">
        <f t="shared" si="13"/>
        <v>-0.7485107481711013</v>
      </c>
      <c r="H137">
        <f t="shared" si="14"/>
        <v>2.1909166652880168</v>
      </c>
      <c r="I137">
        <f>C137-H137</f>
        <v>1.8598349254614011E-2</v>
      </c>
      <c r="J137">
        <f t="shared" si="15"/>
        <v>1.8598349254614011E-2</v>
      </c>
      <c r="K137">
        <f t="shared" si="16"/>
        <v>2.2884734869862555</v>
      </c>
      <c r="L137">
        <f t="shared" si="17"/>
        <v>0</v>
      </c>
    </row>
    <row r="138" spans="1:12" x14ac:dyDescent="0.25">
      <c r="A138" s="1">
        <v>42961</v>
      </c>
      <c r="B138">
        <v>157</v>
      </c>
      <c r="C138">
        <v>2.1958996524092336</v>
      </c>
      <c r="D138">
        <v>0</v>
      </c>
      <c r="E138">
        <v>137</v>
      </c>
      <c r="F138">
        <f t="shared" si="12"/>
        <v>-0.74851074817110164</v>
      </c>
      <c r="G138">
        <f t="shared" si="13"/>
        <v>-0.66312265824079453</v>
      </c>
      <c r="H138">
        <f t="shared" si="14"/>
        <v>2.1896060888488282</v>
      </c>
      <c r="I138">
        <f>C138-H138</f>
        <v>6.2935635604053353E-3</v>
      </c>
      <c r="J138">
        <f t="shared" si="15"/>
        <v>6.2935635604053353E-3</v>
      </c>
      <c r="K138">
        <f t="shared" si="16"/>
        <v>2.287162910547067</v>
      </c>
      <c r="L138">
        <f t="shared" si="17"/>
        <v>0</v>
      </c>
    </row>
    <row r="139" spans="1:12" x14ac:dyDescent="0.25">
      <c r="A139" s="1">
        <v>42968</v>
      </c>
      <c r="B139">
        <v>187</v>
      </c>
      <c r="C139">
        <v>2.271841606536499</v>
      </c>
      <c r="D139">
        <v>0</v>
      </c>
      <c r="E139">
        <v>138</v>
      </c>
      <c r="F139">
        <f t="shared" si="12"/>
        <v>-0.82298386589365558</v>
      </c>
      <c r="G139">
        <f t="shared" si="13"/>
        <v>-0.56806474673115703</v>
      </c>
      <c r="H139">
        <f t="shared" si="14"/>
        <v>2.1889050708491387</v>
      </c>
      <c r="I139">
        <f>C139-H139</f>
        <v>8.2936535687360369E-2</v>
      </c>
      <c r="J139">
        <f t="shared" si="15"/>
        <v>8.2936535687360369E-2</v>
      </c>
      <c r="K139">
        <f t="shared" si="16"/>
        <v>2.2864618925473774</v>
      </c>
      <c r="L139">
        <f t="shared" si="17"/>
        <v>0</v>
      </c>
    </row>
    <row r="140" spans="1:12" x14ac:dyDescent="0.25">
      <c r="A140" s="1">
        <v>42975</v>
      </c>
      <c r="B140">
        <v>157</v>
      </c>
      <c r="C140">
        <v>2.1958996524092336</v>
      </c>
      <c r="D140">
        <v>0</v>
      </c>
      <c r="E140">
        <v>139</v>
      </c>
      <c r="F140">
        <f t="shared" si="12"/>
        <v>-0.8854560256532098</v>
      </c>
      <c r="G140">
        <f t="shared" si="13"/>
        <v>-0.46472317204376878</v>
      </c>
      <c r="H140">
        <f t="shared" si="14"/>
        <v>2.1888238337099377</v>
      </c>
      <c r="I140">
        <f>C140-H140</f>
        <v>7.0758186992958549E-3</v>
      </c>
      <c r="J140">
        <f t="shared" si="15"/>
        <v>7.0758186992958549E-3</v>
      </c>
      <c r="K140">
        <f t="shared" si="16"/>
        <v>2.2863806554081765</v>
      </c>
      <c r="L140">
        <f t="shared" si="17"/>
        <v>0</v>
      </c>
    </row>
    <row r="141" spans="1:12" x14ac:dyDescent="0.25">
      <c r="A141" s="1">
        <v>42982</v>
      </c>
      <c r="B141">
        <v>175</v>
      </c>
      <c r="C141">
        <v>2.2430380486862944</v>
      </c>
      <c r="D141">
        <v>0</v>
      </c>
      <c r="E141">
        <v>140</v>
      </c>
      <c r="F141">
        <f t="shared" si="12"/>
        <v>-0.93501624268541395</v>
      </c>
      <c r="G141">
        <f t="shared" si="13"/>
        <v>-0.35460488704253801</v>
      </c>
      <c r="H141">
        <f t="shared" si="14"/>
        <v>2.1893635620516463</v>
      </c>
      <c r="I141">
        <f>C141-H141</f>
        <v>5.3674486634648133E-2</v>
      </c>
      <c r="J141">
        <f t="shared" si="15"/>
        <v>5.3674486634648133E-2</v>
      </c>
      <c r="K141">
        <f t="shared" si="16"/>
        <v>2.286920383749885</v>
      </c>
      <c r="L141">
        <f t="shared" si="17"/>
        <v>0</v>
      </c>
    </row>
    <row r="142" spans="1:12" x14ac:dyDescent="0.25">
      <c r="A142" s="1">
        <v>42989</v>
      </c>
      <c r="B142">
        <v>143</v>
      </c>
      <c r="C142">
        <v>2.1553360374650619</v>
      </c>
      <c r="D142">
        <v>0</v>
      </c>
      <c r="E142">
        <v>141</v>
      </c>
      <c r="F142">
        <f t="shared" si="12"/>
        <v>-0.97094181742605168</v>
      </c>
      <c r="G142">
        <f t="shared" si="13"/>
        <v>-0.23931566428755907</v>
      </c>
      <c r="H142">
        <f t="shared" si="14"/>
        <v>2.190516385419679</v>
      </c>
      <c r="I142">
        <f>C142-H142</f>
        <v>-3.5180347954617108E-2</v>
      </c>
      <c r="J142">
        <f t="shared" si="15"/>
        <v>-3.5180347954617108E-2</v>
      </c>
      <c r="K142">
        <f t="shared" si="16"/>
        <v>2.2880732071179177</v>
      </c>
      <c r="L142">
        <f t="shared" si="17"/>
        <v>0</v>
      </c>
    </row>
    <row r="143" spans="1:12" x14ac:dyDescent="0.25">
      <c r="A143" s="1">
        <v>42996</v>
      </c>
      <c r="B143">
        <v>166</v>
      </c>
      <c r="C143">
        <v>2.220108088040055</v>
      </c>
      <c r="D143">
        <v>0</v>
      </c>
      <c r="E143">
        <v>142</v>
      </c>
      <c r="F143">
        <f t="shared" si="12"/>
        <v>-0.99270887409805397</v>
      </c>
      <c r="G143">
        <f t="shared" si="13"/>
        <v>-0.12053668025532317</v>
      </c>
      <c r="H143">
        <f t="shared" si="14"/>
        <v>2.1922654930533985</v>
      </c>
      <c r="I143">
        <f>C143-H143</f>
        <v>2.7842594986656533E-2</v>
      </c>
      <c r="J143">
        <f t="shared" si="15"/>
        <v>2.7842594986656533E-2</v>
      </c>
      <c r="K143">
        <f t="shared" si="16"/>
        <v>2.2898223147516372</v>
      </c>
      <c r="L143">
        <f t="shared" si="17"/>
        <v>0</v>
      </c>
    </row>
    <row r="144" spans="1:12" x14ac:dyDescent="0.25">
      <c r="A144" s="1">
        <v>43003</v>
      </c>
      <c r="B144">
        <v>170</v>
      </c>
      <c r="C144">
        <v>2.2304489213782741</v>
      </c>
      <c r="D144">
        <v>0</v>
      </c>
      <c r="E144">
        <v>143</v>
      </c>
      <c r="F144">
        <f t="shared" si="12"/>
        <v>-1</v>
      </c>
      <c r="G144">
        <f t="shared" si="13"/>
        <v>1.1025251892005095E-15</v>
      </c>
      <c r="H144">
        <f t="shared" si="14"/>
        <v>2.1945853790248577</v>
      </c>
      <c r="I144">
        <f>C144-H144</f>
        <v>3.5863542353416378E-2</v>
      </c>
      <c r="J144">
        <f t="shared" si="15"/>
        <v>3.5863542353416378E-2</v>
      </c>
      <c r="K144">
        <f t="shared" si="16"/>
        <v>2.2921422007230965</v>
      </c>
      <c r="L144">
        <f t="shared" si="17"/>
        <v>0</v>
      </c>
    </row>
    <row r="145" spans="1:12" x14ac:dyDescent="0.25">
      <c r="A145" s="1">
        <v>43010</v>
      </c>
      <c r="B145">
        <v>141</v>
      </c>
      <c r="C145">
        <v>2.1492191126553797</v>
      </c>
      <c r="D145">
        <v>0</v>
      </c>
      <c r="E145">
        <v>144</v>
      </c>
      <c r="F145">
        <f t="shared" si="12"/>
        <v>-0.99270887409805419</v>
      </c>
      <c r="G145">
        <f t="shared" si="13"/>
        <v>0.12053668025532184</v>
      </c>
      <c r="H145">
        <f t="shared" si="14"/>
        <v>2.1974422141726637</v>
      </c>
      <c r="I145">
        <f>C145-H145</f>
        <v>-4.8223101517284039E-2</v>
      </c>
      <c r="J145">
        <f t="shared" si="15"/>
        <v>-4.8223101517284039E-2</v>
      </c>
      <c r="K145">
        <f t="shared" si="16"/>
        <v>2.2949990358709025</v>
      </c>
      <c r="L145">
        <f t="shared" si="17"/>
        <v>0</v>
      </c>
    </row>
    <row r="146" spans="1:12" x14ac:dyDescent="0.25">
      <c r="A146" s="1">
        <v>43017</v>
      </c>
      <c r="B146">
        <v>176</v>
      </c>
      <c r="C146">
        <v>2.2455126678141499</v>
      </c>
      <c r="D146">
        <v>0</v>
      </c>
      <c r="E146">
        <v>145</v>
      </c>
      <c r="F146">
        <f t="shared" si="12"/>
        <v>-0.97094181742605201</v>
      </c>
      <c r="G146">
        <f t="shared" si="13"/>
        <v>0.23931566428755777</v>
      </c>
      <c r="H146">
        <f t="shared" si="14"/>
        <v>2.2007943394073299</v>
      </c>
      <c r="I146">
        <f>C146-H146</f>
        <v>4.4718328406819996E-2</v>
      </c>
      <c r="J146">
        <f t="shared" si="15"/>
        <v>4.4718328406819996E-2</v>
      </c>
      <c r="K146">
        <f t="shared" si="16"/>
        <v>2.2983511611055687</v>
      </c>
      <c r="L146">
        <f t="shared" si="17"/>
        <v>0</v>
      </c>
    </row>
    <row r="147" spans="1:12" x14ac:dyDescent="0.25">
      <c r="A147" s="1">
        <v>43024</v>
      </c>
      <c r="B147">
        <v>179</v>
      </c>
      <c r="C147">
        <v>2.2528530309798933</v>
      </c>
      <c r="D147">
        <v>0</v>
      </c>
      <c r="E147">
        <v>146</v>
      </c>
      <c r="F147">
        <f t="shared" si="12"/>
        <v>-0.93501624268541561</v>
      </c>
      <c r="G147">
        <f t="shared" si="13"/>
        <v>0.35460488704253346</v>
      </c>
      <c r="H147">
        <f t="shared" si="14"/>
        <v>2.2045928731946054</v>
      </c>
      <c r="I147">
        <f>C147-H147</f>
        <v>4.8260157785287916E-2</v>
      </c>
      <c r="J147">
        <f t="shared" si="15"/>
        <v>4.8260157785287916E-2</v>
      </c>
      <c r="K147">
        <f t="shared" si="16"/>
        <v>2.3021496948928442</v>
      </c>
      <c r="L147">
        <f t="shared" si="17"/>
        <v>0</v>
      </c>
    </row>
    <row r="148" spans="1:12" x14ac:dyDescent="0.25">
      <c r="A148" s="1">
        <v>43031</v>
      </c>
      <c r="B148">
        <v>165</v>
      </c>
      <c r="C148">
        <v>2.2174839442139063</v>
      </c>
      <c r="D148">
        <v>0</v>
      </c>
      <c r="E148">
        <v>147</v>
      </c>
      <c r="F148">
        <f t="shared" si="12"/>
        <v>-0.88545602565321035</v>
      </c>
      <c r="G148">
        <f t="shared" si="13"/>
        <v>0.46472317204376756</v>
      </c>
      <c r="H148">
        <f t="shared" si="14"/>
        <v>2.2087824243583194</v>
      </c>
      <c r="I148">
        <f>C148-H148</f>
        <v>8.70151985558687E-3</v>
      </c>
      <c r="J148">
        <f t="shared" si="15"/>
        <v>8.70151985558687E-3</v>
      </c>
      <c r="K148">
        <f t="shared" si="16"/>
        <v>2.3063392460565582</v>
      </c>
      <c r="L148">
        <f t="shared" si="17"/>
        <v>0</v>
      </c>
    </row>
    <row r="149" spans="1:12" x14ac:dyDescent="0.25">
      <c r="A149" s="1">
        <v>43038</v>
      </c>
      <c r="B149">
        <v>190</v>
      </c>
      <c r="C149">
        <v>2.2787536009528289</v>
      </c>
      <c r="D149">
        <v>0</v>
      </c>
      <c r="E149">
        <v>148</v>
      </c>
      <c r="F149">
        <f t="shared" si="12"/>
        <v>-0.82298386589365635</v>
      </c>
      <c r="G149">
        <f t="shared" si="13"/>
        <v>0.56806474673115592</v>
      </c>
      <c r="H149">
        <f t="shared" si="14"/>
        <v>2.213301899808457</v>
      </c>
      <c r="I149">
        <f>C149-H149</f>
        <v>6.5451701144371821E-2</v>
      </c>
      <c r="J149">
        <f t="shared" si="15"/>
        <v>6.5451701144371821E-2</v>
      </c>
      <c r="K149">
        <f t="shared" si="16"/>
        <v>2.3108587215066958</v>
      </c>
      <c r="L149">
        <f t="shared" si="17"/>
        <v>0</v>
      </c>
    </row>
    <row r="150" spans="1:12" x14ac:dyDescent="0.25">
      <c r="A150" s="1">
        <v>43045</v>
      </c>
      <c r="B150">
        <v>170</v>
      </c>
      <c r="C150">
        <v>2.2304489213782741</v>
      </c>
      <c r="D150">
        <v>0</v>
      </c>
      <c r="E150">
        <v>149</v>
      </c>
      <c r="F150">
        <f t="shared" si="12"/>
        <v>-0.74851074817110252</v>
      </c>
      <c r="G150">
        <f t="shared" si="13"/>
        <v>0.66312265824079353</v>
      </c>
      <c r="H150">
        <f t="shared" si="14"/>
        <v>2.218085395415982</v>
      </c>
      <c r="I150">
        <f>C150-H150</f>
        <v>1.2363525962292066E-2</v>
      </c>
      <c r="J150">
        <f t="shared" si="15"/>
        <v>1.2363525962292066E-2</v>
      </c>
      <c r="K150">
        <f t="shared" si="16"/>
        <v>2.3156422171142208</v>
      </c>
      <c r="L150">
        <f t="shared" si="17"/>
        <v>0</v>
      </c>
    </row>
    <row r="151" spans="1:12" x14ac:dyDescent="0.25">
      <c r="A151" s="1">
        <v>43052</v>
      </c>
      <c r="B151">
        <v>162</v>
      </c>
      <c r="C151">
        <v>2.2095150145426308</v>
      </c>
      <c r="D151">
        <v>0</v>
      </c>
      <c r="E151">
        <v>150</v>
      </c>
      <c r="F151">
        <f t="shared" si="12"/>
        <v>-0.66312265824079597</v>
      </c>
      <c r="G151">
        <f t="shared" si="13"/>
        <v>0.74851074817110042</v>
      </c>
      <c r="H151">
        <f t="shared" si="14"/>
        <v>2.2230631570434438</v>
      </c>
      <c r="I151">
        <f>C151-H151</f>
        <v>-1.3548142500813043E-2</v>
      </c>
      <c r="J151">
        <f t="shared" si="15"/>
        <v>-1.3548142500813043E-2</v>
      </c>
      <c r="K151">
        <f t="shared" si="16"/>
        <v>2.3206199787416826</v>
      </c>
      <c r="L151">
        <f t="shared" si="17"/>
        <v>0</v>
      </c>
    </row>
    <row r="152" spans="1:12" x14ac:dyDescent="0.25">
      <c r="A152" s="1">
        <v>43059</v>
      </c>
      <c r="B152">
        <v>175</v>
      </c>
      <c r="C152">
        <v>2.2430380486862944</v>
      </c>
      <c r="D152">
        <v>0</v>
      </c>
      <c r="E152">
        <v>151</v>
      </c>
      <c r="F152">
        <f t="shared" si="12"/>
        <v>-0.56806474673115559</v>
      </c>
      <c r="G152">
        <f t="shared" si="13"/>
        <v>0.82298386589365657</v>
      </c>
      <c r="H152">
        <f t="shared" si="14"/>
        <v>2.2281625977173709</v>
      </c>
      <c r="I152">
        <f>C152-H152</f>
        <v>1.4875450968923509E-2</v>
      </c>
      <c r="J152">
        <f t="shared" si="15"/>
        <v>1.4875450968923509E-2</v>
      </c>
      <c r="K152">
        <f t="shared" si="16"/>
        <v>2.3257194194156097</v>
      </c>
      <c r="L152">
        <f t="shared" si="17"/>
        <v>0</v>
      </c>
    </row>
    <row r="153" spans="1:12" x14ac:dyDescent="0.25">
      <c r="A153" s="1">
        <v>43066</v>
      </c>
      <c r="B153">
        <v>149</v>
      </c>
      <c r="C153">
        <v>2.173186268412274</v>
      </c>
      <c r="D153">
        <v>0</v>
      </c>
      <c r="E153">
        <v>152</v>
      </c>
      <c r="F153">
        <f t="shared" si="12"/>
        <v>-0.46472317204377039</v>
      </c>
      <c r="G153">
        <f t="shared" si="13"/>
        <v>0.88545602565320891</v>
      </c>
      <c r="H153">
        <f t="shared" si="14"/>
        <v>2.2333093561097965</v>
      </c>
      <c r="I153">
        <f>C153-H153</f>
        <v>-6.0123087697522504E-2</v>
      </c>
      <c r="J153">
        <f t="shared" si="15"/>
        <v>-6.0123087697522504E-2</v>
      </c>
      <c r="K153">
        <f t="shared" si="16"/>
        <v>2.3308661778080353</v>
      </c>
      <c r="L153">
        <f t="shared" si="17"/>
        <v>0</v>
      </c>
    </row>
    <row r="154" spans="1:12" x14ac:dyDescent="0.25">
      <c r="A154" s="1">
        <v>43073</v>
      </c>
      <c r="B154">
        <v>186</v>
      </c>
      <c r="C154">
        <v>2.2695129442179165</v>
      </c>
      <c r="D154">
        <v>0</v>
      </c>
      <c r="E154">
        <v>153</v>
      </c>
      <c r="F154">
        <f t="shared" si="12"/>
        <v>-0.35460488704253645</v>
      </c>
      <c r="G154">
        <f t="shared" si="13"/>
        <v>0.9350162426854145</v>
      </c>
      <c r="H154">
        <f t="shared" si="14"/>
        <v>2.2384283808938683</v>
      </c>
      <c r="I154">
        <f>C154-H154</f>
        <v>3.1084563324048187E-2</v>
      </c>
      <c r="J154">
        <f t="shared" si="15"/>
        <v>3.1084563324048187E-2</v>
      </c>
      <c r="K154">
        <f t="shared" si="16"/>
        <v>2.3359852025921071</v>
      </c>
      <c r="L154">
        <f t="shared" si="17"/>
        <v>0</v>
      </c>
    </row>
    <row r="155" spans="1:12" x14ac:dyDescent="0.25">
      <c r="A155" s="1">
        <v>43080</v>
      </c>
      <c r="B155">
        <v>186</v>
      </c>
      <c r="C155">
        <v>2.2695129442179165</v>
      </c>
      <c r="D155">
        <v>0</v>
      </c>
      <c r="E155">
        <v>154</v>
      </c>
      <c r="F155">
        <f t="shared" si="12"/>
        <v>-0.23931566428755741</v>
      </c>
      <c r="G155">
        <f t="shared" si="13"/>
        <v>0.97094181742605212</v>
      </c>
      <c r="H155">
        <f t="shared" si="14"/>
        <v>2.2434450251611957</v>
      </c>
      <c r="I155">
        <f>C155-H155</f>
        <v>2.606791905672079E-2</v>
      </c>
      <c r="J155">
        <f t="shared" si="15"/>
        <v>2.606791905672079E-2</v>
      </c>
      <c r="K155">
        <f t="shared" si="16"/>
        <v>2.3410018468594345</v>
      </c>
      <c r="L155">
        <f t="shared" si="17"/>
        <v>0</v>
      </c>
    </row>
    <row r="156" spans="1:12" x14ac:dyDescent="0.25">
      <c r="A156" s="1">
        <v>43087</v>
      </c>
      <c r="B156">
        <v>179</v>
      </c>
      <c r="C156">
        <v>2.2528530309798933</v>
      </c>
      <c r="D156">
        <v>0</v>
      </c>
      <c r="E156">
        <v>155</v>
      </c>
      <c r="F156">
        <f t="shared" si="12"/>
        <v>-0.120536680255325</v>
      </c>
      <c r="G156">
        <f t="shared" si="13"/>
        <v>0.99270887409805375</v>
      </c>
      <c r="H156">
        <f t="shared" si="14"/>
        <v>2.248286134941861</v>
      </c>
      <c r="I156">
        <f>C156-H156</f>
        <v>4.5668960380322865E-3</v>
      </c>
      <c r="J156">
        <f t="shared" si="15"/>
        <v>4.5668960380322865E-3</v>
      </c>
      <c r="K156">
        <f t="shared" si="16"/>
        <v>2.3458429566400998</v>
      </c>
      <c r="L156">
        <f t="shared" si="17"/>
        <v>0</v>
      </c>
    </row>
    <row r="157" spans="1:12" x14ac:dyDescent="0.25">
      <c r="A157" s="1">
        <v>43094</v>
      </c>
      <c r="B157">
        <v>178</v>
      </c>
      <c r="C157">
        <v>2.2504200023088941</v>
      </c>
      <c r="D157">
        <v>0</v>
      </c>
      <c r="E157">
        <v>156</v>
      </c>
      <c r="F157">
        <f t="shared" si="12"/>
        <v>-7.3508907294517201E-16</v>
      </c>
      <c r="G157">
        <f t="shared" si="13"/>
        <v>1</v>
      </c>
      <c r="H157">
        <f t="shared" si="14"/>
        <v>2.2528811159540325</v>
      </c>
      <c r="I157">
        <f>C157-H157</f>
        <v>-2.4611136451384574E-3</v>
      </c>
      <c r="J157">
        <f t="shared" si="15"/>
        <v>-2.4611136451384574E-3</v>
      </c>
      <c r="K157">
        <f t="shared" si="16"/>
        <v>2.3504379376522713</v>
      </c>
      <c r="L157">
        <f t="shared" si="17"/>
        <v>0</v>
      </c>
    </row>
    <row r="158" spans="1:12" x14ac:dyDescent="0.25">
      <c r="A158" s="1">
        <v>43101</v>
      </c>
      <c r="B158">
        <v>175</v>
      </c>
      <c r="C158">
        <v>2.2430380486862944</v>
      </c>
      <c r="D158">
        <v>0</v>
      </c>
      <c r="E158">
        <v>157</v>
      </c>
      <c r="F158">
        <f t="shared" si="12"/>
        <v>0.12053668025532001</v>
      </c>
      <c r="G158">
        <f t="shared" si="13"/>
        <v>0.99270887409805442</v>
      </c>
      <c r="H158">
        <f t="shared" si="14"/>
        <v>2.2571629630275565</v>
      </c>
      <c r="I158">
        <f>C158-H158</f>
        <v>-1.4124914341262063E-2</v>
      </c>
      <c r="J158">
        <f t="shared" si="15"/>
        <v>-1.4124914341262063E-2</v>
      </c>
      <c r="K158">
        <f t="shared" si="16"/>
        <v>2.3547197847257952</v>
      </c>
      <c r="L158">
        <f t="shared" si="17"/>
        <v>0</v>
      </c>
    </row>
    <row r="159" spans="1:12" x14ac:dyDescent="0.25">
      <c r="A159" s="1">
        <v>43108</v>
      </c>
      <c r="B159">
        <v>168</v>
      </c>
      <c r="C159">
        <v>2.2253092817258628</v>
      </c>
      <c r="D159">
        <v>0</v>
      </c>
      <c r="E159">
        <v>158</v>
      </c>
      <c r="F159">
        <f t="shared" si="12"/>
        <v>0.23931566428755943</v>
      </c>
      <c r="G159">
        <f t="shared" si="13"/>
        <v>0.97094181742605157</v>
      </c>
      <c r="H159">
        <f t="shared" si="14"/>
        <v>2.2610692371902217</v>
      </c>
      <c r="I159">
        <f>C159-H159</f>
        <v>-3.5759955464358839E-2</v>
      </c>
      <c r="J159">
        <f t="shared" si="15"/>
        <v>-3.5759955464358839E-2</v>
      </c>
      <c r="K159">
        <f t="shared" si="16"/>
        <v>2.3586260588884604</v>
      </c>
      <c r="L159">
        <f t="shared" si="17"/>
        <v>0</v>
      </c>
    </row>
    <row r="160" spans="1:12" x14ac:dyDescent="0.25">
      <c r="A160" s="1">
        <v>43115</v>
      </c>
      <c r="B160">
        <v>178</v>
      </c>
      <c r="C160">
        <v>2.2504200023088941</v>
      </c>
      <c r="D160">
        <v>0</v>
      </c>
      <c r="E160">
        <v>159</v>
      </c>
      <c r="F160">
        <f t="shared" si="12"/>
        <v>0.35460488704253507</v>
      </c>
      <c r="G160">
        <f t="shared" si="13"/>
        <v>0.93501624268541506</v>
      </c>
      <c r="H160">
        <f t="shared" si="14"/>
        <v>2.2645429761685718</v>
      </c>
      <c r="I160">
        <f>C160-H160</f>
        <v>-1.4122973859677757E-2</v>
      </c>
      <c r="J160">
        <f t="shared" si="15"/>
        <v>-1.4122973859677757E-2</v>
      </c>
      <c r="K160">
        <f t="shared" si="16"/>
        <v>2.3620997978668106</v>
      </c>
      <c r="L160">
        <f t="shared" si="17"/>
        <v>0</v>
      </c>
    </row>
    <row r="161" spans="1:12" x14ac:dyDescent="0.25">
      <c r="A161" s="1">
        <v>43122</v>
      </c>
      <c r="B161">
        <v>181</v>
      </c>
      <c r="C161">
        <v>2.2576785748691846</v>
      </c>
      <c r="D161">
        <v>0</v>
      </c>
      <c r="E161">
        <v>160</v>
      </c>
      <c r="F161">
        <f t="shared" si="12"/>
        <v>0.46472317204376906</v>
      </c>
      <c r="G161">
        <f t="shared" si="13"/>
        <v>0.88545602565320958</v>
      </c>
      <c r="H161">
        <f t="shared" si="14"/>
        <v>2.2675335250261255</v>
      </c>
      <c r="I161">
        <f>C161-H161</f>
        <v>-9.8549501569409337E-3</v>
      </c>
      <c r="J161">
        <f t="shared" si="15"/>
        <v>-9.8549501569409337E-3</v>
      </c>
      <c r="K161">
        <f t="shared" si="16"/>
        <v>2.3650903467243642</v>
      </c>
      <c r="L161">
        <f t="shared" si="17"/>
        <v>0</v>
      </c>
    </row>
    <row r="162" spans="1:12" x14ac:dyDescent="0.25">
      <c r="A162" s="1">
        <v>43129</v>
      </c>
      <c r="B162">
        <v>196</v>
      </c>
      <c r="C162">
        <v>2.2922560713564759</v>
      </c>
      <c r="D162">
        <v>0</v>
      </c>
      <c r="E162">
        <v>161</v>
      </c>
      <c r="F162">
        <f t="shared" si="12"/>
        <v>0.56806474673115437</v>
      </c>
      <c r="G162">
        <f t="shared" si="13"/>
        <v>0.82298386589365735</v>
      </c>
      <c r="H162">
        <f t="shared" si="14"/>
        <v>2.2699972748264079</v>
      </c>
      <c r="I162">
        <f>C162-H162</f>
        <v>2.2258796530068015E-2</v>
      </c>
      <c r="J162">
        <f t="shared" si="15"/>
        <v>2.2258796530068015E-2</v>
      </c>
      <c r="K162">
        <f t="shared" si="16"/>
        <v>2.3675540965246467</v>
      </c>
      <c r="L162">
        <f t="shared" si="17"/>
        <v>0</v>
      </c>
    </row>
    <row r="163" spans="1:12" x14ac:dyDescent="0.25">
      <c r="A163" s="1">
        <v>43136</v>
      </c>
      <c r="B163">
        <v>181</v>
      </c>
      <c r="C163">
        <v>2.2576785748691846</v>
      </c>
      <c r="D163">
        <v>0</v>
      </c>
      <c r="E163">
        <v>162</v>
      </c>
      <c r="F163">
        <f t="shared" si="12"/>
        <v>0.66312265824079486</v>
      </c>
      <c r="G163">
        <f t="shared" si="13"/>
        <v>0.74851074817110141</v>
      </c>
      <c r="H163">
        <f t="shared" si="14"/>
        <v>2.2718982985494516</v>
      </c>
      <c r="I163">
        <f>C163-H163</f>
        <v>-1.4219723680267027E-2</v>
      </c>
      <c r="J163">
        <f t="shared" si="15"/>
        <v>-1.4219723680267027E-2</v>
      </c>
      <c r="K163">
        <f t="shared" si="16"/>
        <v>2.3694551202476903</v>
      </c>
      <c r="L163">
        <f t="shared" si="17"/>
        <v>0</v>
      </c>
    </row>
    <row r="164" spans="1:12" x14ac:dyDescent="0.25">
      <c r="A164" s="1">
        <v>43143</v>
      </c>
      <c r="B164">
        <v>200</v>
      </c>
      <c r="C164">
        <v>2.3010299956639813</v>
      </c>
      <c r="D164">
        <v>0</v>
      </c>
      <c r="E164">
        <v>163</v>
      </c>
      <c r="F164">
        <f t="shared" si="12"/>
        <v>0.74851074817109919</v>
      </c>
      <c r="G164">
        <f t="shared" si="13"/>
        <v>0.6631226582407973</v>
      </c>
      <c r="H164">
        <f t="shared" si="14"/>
        <v>2.2732088749886397</v>
      </c>
      <c r="I164">
        <f>C164-H164</f>
        <v>2.7821120675341593E-2</v>
      </c>
      <c r="J164">
        <f t="shared" si="15"/>
        <v>2.7821120675341593E-2</v>
      </c>
      <c r="K164">
        <f t="shared" si="16"/>
        <v>2.3707656966868784</v>
      </c>
      <c r="L164">
        <f t="shared" si="17"/>
        <v>0</v>
      </c>
    </row>
    <row r="165" spans="1:12" x14ac:dyDescent="0.25">
      <c r="A165" s="1">
        <v>43150</v>
      </c>
      <c r="B165">
        <v>184</v>
      </c>
      <c r="C165">
        <v>2.2648178230095364</v>
      </c>
      <c r="D165">
        <v>0</v>
      </c>
      <c r="E165">
        <v>164</v>
      </c>
      <c r="F165">
        <f t="shared" si="12"/>
        <v>0.82298386589365546</v>
      </c>
      <c r="G165">
        <f t="shared" si="13"/>
        <v>0.56806474673115714</v>
      </c>
      <c r="H165">
        <f t="shared" si="14"/>
        <v>2.2739098929883297</v>
      </c>
      <c r="I165">
        <f>C165-H165</f>
        <v>-9.0920699787933046E-3</v>
      </c>
      <c r="J165">
        <f t="shared" si="15"/>
        <v>-9.0920699787933046E-3</v>
      </c>
      <c r="K165">
        <f t="shared" si="16"/>
        <v>2.3714667146865684</v>
      </c>
      <c r="L165">
        <f t="shared" si="17"/>
        <v>0</v>
      </c>
    </row>
    <row r="166" spans="1:12" x14ac:dyDescent="0.25">
      <c r="A166" s="1">
        <v>43157</v>
      </c>
      <c r="B166">
        <v>226</v>
      </c>
      <c r="C166">
        <v>2.3541084391474008</v>
      </c>
      <c r="D166">
        <v>0</v>
      </c>
      <c r="E166">
        <v>165</v>
      </c>
      <c r="F166">
        <f t="shared" si="12"/>
        <v>0.88545602565320802</v>
      </c>
      <c r="G166">
        <f t="shared" si="13"/>
        <v>0.464723172043772</v>
      </c>
      <c r="H166">
        <f t="shared" si="14"/>
        <v>2.2739911301275306</v>
      </c>
      <c r="I166">
        <f>C166-H166</f>
        <v>8.0117309019870131E-2</v>
      </c>
      <c r="J166">
        <f t="shared" si="15"/>
        <v>8.0117309019870131E-2</v>
      </c>
      <c r="K166">
        <f t="shared" si="16"/>
        <v>2.3715479518257694</v>
      </c>
      <c r="L166">
        <f t="shared" si="17"/>
        <v>0</v>
      </c>
    </row>
    <row r="167" spans="1:12" x14ac:dyDescent="0.25">
      <c r="A167" s="1">
        <v>43164</v>
      </c>
      <c r="B167">
        <v>251</v>
      </c>
      <c r="C167">
        <v>2.399673721481038</v>
      </c>
      <c r="D167">
        <v>0</v>
      </c>
      <c r="E167">
        <v>166</v>
      </c>
      <c r="F167">
        <f t="shared" si="12"/>
        <v>0.93501624268541517</v>
      </c>
      <c r="G167">
        <f t="shared" si="13"/>
        <v>0.35460488704253484</v>
      </c>
      <c r="H167">
        <f t="shared" si="14"/>
        <v>2.2734514017858221</v>
      </c>
      <c r="I167">
        <f>C167-H167</f>
        <v>0.12622231969521591</v>
      </c>
      <c r="J167">
        <f t="shared" si="15"/>
        <v>0.12622231969521591</v>
      </c>
      <c r="K167">
        <f t="shared" si="16"/>
        <v>2.3710082234840608</v>
      </c>
      <c r="L167">
        <f t="shared" si="17"/>
        <v>16.032268779434787</v>
      </c>
    </row>
    <row r="168" spans="1:12" x14ac:dyDescent="0.25">
      <c r="A168" s="1">
        <v>43171</v>
      </c>
      <c r="B168">
        <v>200</v>
      </c>
      <c r="C168">
        <v>2.3010299956639813</v>
      </c>
      <c r="D168">
        <v>0</v>
      </c>
      <c r="E168">
        <v>167</v>
      </c>
      <c r="F168">
        <f t="shared" si="12"/>
        <v>0.97094181742605257</v>
      </c>
      <c r="G168">
        <f t="shared" si="13"/>
        <v>0.23931566428755574</v>
      </c>
      <c r="H168">
        <f t="shared" si="14"/>
        <v>2.2722985784177894</v>
      </c>
      <c r="I168">
        <f>C168-H168</f>
        <v>2.8731417246191882E-2</v>
      </c>
      <c r="J168">
        <f t="shared" si="15"/>
        <v>2.8731417246191882E-2</v>
      </c>
      <c r="K168">
        <f t="shared" si="16"/>
        <v>2.3698554001160281</v>
      </c>
      <c r="L168">
        <f t="shared" si="17"/>
        <v>0</v>
      </c>
    </row>
    <row r="169" spans="1:12" x14ac:dyDescent="0.25">
      <c r="A169" s="1">
        <v>43178</v>
      </c>
      <c r="B169">
        <v>210</v>
      </c>
      <c r="C169">
        <v>2.3222192947339191</v>
      </c>
      <c r="D169">
        <v>0</v>
      </c>
      <c r="E169">
        <v>168</v>
      </c>
      <c r="F169">
        <f t="shared" si="12"/>
        <v>0.99270887409805397</v>
      </c>
      <c r="G169">
        <f t="shared" si="13"/>
        <v>0.1205366802553233</v>
      </c>
      <c r="H169">
        <f t="shared" si="14"/>
        <v>2.2705494707840699</v>
      </c>
      <c r="I169">
        <f>C169-H169</f>
        <v>5.1669823949849203E-2</v>
      </c>
      <c r="J169">
        <f t="shared" si="15"/>
        <v>5.1669823949849203E-2</v>
      </c>
      <c r="K169">
        <f t="shared" si="16"/>
        <v>2.3681062924823086</v>
      </c>
      <c r="L169">
        <f t="shared" si="17"/>
        <v>0</v>
      </c>
    </row>
    <row r="170" spans="1:12" x14ac:dyDescent="0.25">
      <c r="A170" s="1">
        <v>43185</v>
      </c>
      <c r="B170">
        <v>180</v>
      </c>
      <c r="C170">
        <v>2.255272505103306</v>
      </c>
      <c r="D170">
        <v>0</v>
      </c>
      <c r="E170">
        <v>169</v>
      </c>
      <c r="F170">
        <f t="shared" si="12"/>
        <v>1</v>
      </c>
      <c r="G170">
        <f t="shared" si="13"/>
        <v>-9.8001034370964746E-16</v>
      </c>
      <c r="H170">
        <f t="shared" si="14"/>
        <v>2.2682295848126106</v>
      </c>
      <c r="I170">
        <f>C170-H170</f>
        <v>-1.2957079709304598E-2</v>
      </c>
      <c r="J170">
        <f t="shared" si="15"/>
        <v>-1.2957079709304598E-2</v>
      </c>
      <c r="K170">
        <f t="shared" si="16"/>
        <v>2.3657864065108494</v>
      </c>
      <c r="L170">
        <f t="shared" si="17"/>
        <v>0</v>
      </c>
    </row>
    <row r="171" spans="1:12" x14ac:dyDescent="0.25">
      <c r="A171" s="1">
        <v>43192</v>
      </c>
      <c r="B171">
        <v>187</v>
      </c>
      <c r="C171">
        <v>2.271841606536499</v>
      </c>
      <c r="D171">
        <v>0</v>
      </c>
      <c r="E171">
        <v>170</v>
      </c>
      <c r="F171">
        <f t="shared" si="12"/>
        <v>0.99270887409805419</v>
      </c>
      <c r="G171">
        <f t="shared" si="13"/>
        <v>-0.12053668025532172</v>
      </c>
      <c r="H171">
        <f t="shared" si="14"/>
        <v>2.2653727496648046</v>
      </c>
      <c r="I171">
        <f>C171-H171</f>
        <v>6.4688568716944062E-3</v>
      </c>
      <c r="J171">
        <f t="shared" si="15"/>
        <v>6.4688568716944062E-3</v>
      </c>
      <c r="K171">
        <f t="shared" si="16"/>
        <v>2.3629295713630434</v>
      </c>
      <c r="L171">
        <f t="shared" si="17"/>
        <v>0</v>
      </c>
    </row>
    <row r="172" spans="1:12" x14ac:dyDescent="0.25">
      <c r="A172" s="1">
        <v>43199</v>
      </c>
      <c r="B172">
        <v>167</v>
      </c>
      <c r="C172">
        <v>2.2227164711475833</v>
      </c>
      <c r="D172">
        <v>0</v>
      </c>
      <c r="E172">
        <v>171</v>
      </c>
      <c r="F172">
        <f t="shared" si="12"/>
        <v>0.97094181742605201</v>
      </c>
      <c r="G172">
        <f t="shared" si="13"/>
        <v>-0.23931566428755766</v>
      </c>
      <c r="H172">
        <f t="shared" si="14"/>
        <v>2.2620206244301384</v>
      </c>
      <c r="I172">
        <f>C172-H172</f>
        <v>-3.9304153282555099E-2</v>
      </c>
      <c r="J172">
        <f t="shared" si="15"/>
        <v>-3.9304153282555099E-2</v>
      </c>
      <c r="K172">
        <f t="shared" si="16"/>
        <v>2.3595774461283772</v>
      </c>
      <c r="L172">
        <f t="shared" si="17"/>
        <v>0</v>
      </c>
    </row>
    <row r="173" spans="1:12" x14ac:dyDescent="0.25">
      <c r="A173" s="1">
        <v>43206</v>
      </c>
      <c r="B173">
        <v>162</v>
      </c>
      <c r="C173">
        <v>2.2095150145426308</v>
      </c>
      <c r="D173">
        <v>0</v>
      </c>
      <c r="E173">
        <v>172</v>
      </c>
      <c r="F173">
        <f t="shared" si="12"/>
        <v>0.93501624268541572</v>
      </c>
      <c r="G173">
        <f t="shared" si="13"/>
        <v>-0.35460488704253335</v>
      </c>
      <c r="H173">
        <f t="shared" si="14"/>
        <v>2.2582220906428629</v>
      </c>
      <c r="I173">
        <f>C173-H173</f>
        <v>-4.8707076100232172E-2</v>
      </c>
      <c r="J173">
        <f t="shared" si="15"/>
        <v>-4.8707076100232172E-2</v>
      </c>
      <c r="K173">
        <f t="shared" si="16"/>
        <v>2.3557789123411017</v>
      </c>
      <c r="L173">
        <f t="shared" si="17"/>
        <v>0</v>
      </c>
    </row>
    <row r="174" spans="1:12" x14ac:dyDescent="0.25">
      <c r="A174" s="1">
        <v>43213</v>
      </c>
      <c r="B174">
        <v>155</v>
      </c>
      <c r="C174">
        <v>2.1903316981702914</v>
      </c>
      <c r="D174">
        <v>0</v>
      </c>
      <c r="E174">
        <v>173</v>
      </c>
      <c r="F174">
        <f t="shared" si="12"/>
        <v>0.88545602565321047</v>
      </c>
      <c r="G174">
        <f t="shared" si="13"/>
        <v>-0.46472317204376745</v>
      </c>
      <c r="H174">
        <f t="shared" si="14"/>
        <v>2.2540325394791489</v>
      </c>
      <c r="I174">
        <f>C174-H174</f>
        <v>-6.3700841308857559E-2</v>
      </c>
      <c r="J174">
        <f t="shared" si="15"/>
        <v>-6.3700841308857559E-2</v>
      </c>
      <c r="K174">
        <f t="shared" si="16"/>
        <v>2.3515893611773877</v>
      </c>
      <c r="L174">
        <f t="shared" si="17"/>
        <v>0</v>
      </c>
    </row>
    <row r="175" spans="1:12" x14ac:dyDescent="0.25">
      <c r="A175" s="1">
        <v>43220</v>
      </c>
      <c r="B175">
        <v>157</v>
      </c>
      <c r="C175">
        <v>2.1958996524092336</v>
      </c>
      <c r="D175">
        <v>0</v>
      </c>
      <c r="E175">
        <v>174</v>
      </c>
      <c r="F175">
        <f t="shared" si="12"/>
        <v>0.82298386589365846</v>
      </c>
      <c r="G175">
        <f t="shared" si="13"/>
        <v>-0.56806474673115293</v>
      </c>
      <c r="H175">
        <f t="shared" si="14"/>
        <v>2.2495130640290117</v>
      </c>
      <c r="I175">
        <f>C175-H175</f>
        <v>-5.3613411619778173E-2</v>
      </c>
      <c r="J175">
        <f t="shared" si="15"/>
        <v>-5.3613411619778173E-2</v>
      </c>
      <c r="K175">
        <f t="shared" si="16"/>
        <v>2.3470698857272505</v>
      </c>
      <c r="L175">
        <f t="shared" si="17"/>
        <v>0</v>
      </c>
    </row>
    <row r="176" spans="1:12" x14ac:dyDescent="0.25">
      <c r="A176" s="1">
        <v>43227</v>
      </c>
      <c r="B176">
        <v>151</v>
      </c>
      <c r="C176">
        <v>2.1789769472931693</v>
      </c>
      <c r="D176">
        <v>0</v>
      </c>
      <c r="E176">
        <v>175</v>
      </c>
      <c r="F176">
        <f t="shared" si="12"/>
        <v>0.74851074817110264</v>
      </c>
      <c r="G176">
        <f t="shared" si="13"/>
        <v>-0.66312265824079342</v>
      </c>
      <c r="H176">
        <f t="shared" si="14"/>
        <v>2.2447295684214863</v>
      </c>
      <c r="I176">
        <f>C176-H176</f>
        <v>-6.5752621128317035E-2</v>
      </c>
      <c r="J176">
        <f t="shared" si="15"/>
        <v>-6.5752621128317035E-2</v>
      </c>
      <c r="K176">
        <f t="shared" si="16"/>
        <v>2.3422863901197251</v>
      </c>
      <c r="L176">
        <f t="shared" si="17"/>
        <v>0</v>
      </c>
    </row>
    <row r="177" spans="1:12" x14ac:dyDescent="0.25">
      <c r="A177" s="1">
        <v>43234</v>
      </c>
      <c r="B177">
        <v>153</v>
      </c>
      <c r="C177">
        <v>2.1846914308175989</v>
      </c>
      <c r="D177">
        <v>0</v>
      </c>
      <c r="E177">
        <v>176</v>
      </c>
      <c r="F177">
        <f t="shared" si="12"/>
        <v>0.66312265824079863</v>
      </c>
      <c r="G177">
        <f t="shared" si="13"/>
        <v>-0.74851074817109797</v>
      </c>
      <c r="H177">
        <f t="shared" si="14"/>
        <v>2.2397518067940245</v>
      </c>
      <c r="I177">
        <f>C177-H177</f>
        <v>-5.5060375976425657E-2</v>
      </c>
      <c r="J177">
        <f t="shared" si="15"/>
        <v>-5.5060375976425657E-2</v>
      </c>
      <c r="K177">
        <f t="shared" si="16"/>
        <v>2.3373086284922633</v>
      </c>
      <c r="L177">
        <f t="shared" si="17"/>
        <v>0</v>
      </c>
    </row>
    <row r="178" spans="1:12" x14ac:dyDescent="0.25">
      <c r="A178" s="1">
        <v>43241</v>
      </c>
      <c r="B178">
        <v>144</v>
      </c>
      <c r="C178">
        <v>2.1583624920952498</v>
      </c>
      <c r="D178">
        <v>0</v>
      </c>
      <c r="E178">
        <v>177</v>
      </c>
      <c r="F178">
        <f t="shared" si="12"/>
        <v>0.5680647467311557</v>
      </c>
      <c r="G178">
        <f t="shared" si="13"/>
        <v>-0.82298386589365646</v>
      </c>
      <c r="H178">
        <f t="shared" si="14"/>
        <v>2.2346523661200974</v>
      </c>
      <c r="I178">
        <f>C178-H178</f>
        <v>-7.6289874024847659E-2</v>
      </c>
      <c r="J178">
        <f t="shared" si="15"/>
        <v>-7.6289874024847659E-2</v>
      </c>
      <c r="K178">
        <f t="shared" si="16"/>
        <v>2.3322091878183362</v>
      </c>
      <c r="L178">
        <f t="shared" si="17"/>
        <v>0</v>
      </c>
    </row>
    <row r="179" spans="1:12" x14ac:dyDescent="0.25">
      <c r="A179" s="1">
        <v>43248</v>
      </c>
      <c r="B179">
        <v>181</v>
      </c>
      <c r="C179">
        <v>2.2576785748691846</v>
      </c>
      <c r="D179">
        <v>0</v>
      </c>
      <c r="E179">
        <v>178</v>
      </c>
      <c r="F179">
        <f t="shared" si="12"/>
        <v>0.46472317204376734</v>
      </c>
      <c r="G179">
        <f t="shared" si="13"/>
        <v>-0.88545602565321058</v>
      </c>
      <c r="H179">
        <f t="shared" si="14"/>
        <v>2.2295056077276718</v>
      </c>
      <c r="I179">
        <f>C179-H179</f>
        <v>2.8172967141512739E-2</v>
      </c>
      <c r="J179">
        <f t="shared" si="15"/>
        <v>2.8172967141512739E-2</v>
      </c>
      <c r="K179">
        <f t="shared" si="16"/>
        <v>2.3270624294259106</v>
      </c>
      <c r="L179">
        <f t="shared" si="17"/>
        <v>0</v>
      </c>
    </row>
    <row r="180" spans="1:12" x14ac:dyDescent="0.25">
      <c r="A180" s="1">
        <v>43255</v>
      </c>
      <c r="B180">
        <v>137</v>
      </c>
      <c r="C180">
        <v>2.1367205671564067</v>
      </c>
      <c r="D180">
        <v>0</v>
      </c>
      <c r="E180">
        <v>179</v>
      </c>
      <c r="F180">
        <f t="shared" si="12"/>
        <v>0.35460488704253657</v>
      </c>
      <c r="G180">
        <f t="shared" si="13"/>
        <v>-0.9350162426854145</v>
      </c>
      <c r="H180">
        <f t="shared" si="14"/>
        <v>2.2243865829436</v>
      </c>
      <c r="I180">
        <f>C180-H180</f>
        <v>-8.7666015787193352E-2</v>
      </c>
      <c r="J180">
        <f t="shared" si="15"/>
        <v>-8.7666015787193352E-2</v>
      </c>
      <c r="K180">
        <f t="shared" si="16"/>
        <v>2.3219434046418388</v>
      </c>
      <c r="L180">
        <f t="shared" si="17"/>
        <v>0</v>
      </c>
    </row>
    <row r="181" spans="1:12" x14ac:dyDescent="0.25">
      <c r="A181" s="1">
        <v>43262</v>
      </c>
      <c r="B181">
        <v>140</v>
      </c>
      <c r="C181">
        <v>2.1461280356782382</v>
      </c>
      <c r="D181">
        <v>0</v>
      </c>
      <c r="E181">
        <v>180</v>
      </c>
      <c r="F181">
        <f t="shared" si="12"/>
        <v>0.23931566428755752</v>
      </c>
      <c r="G181">
        <f t="shared" si="13"/>
        <v>-0.97094181742605212</v>
      </c>
      <c r="H181">
        <f t="shared" si="14"/>
        <v>2.2193699386762726</v>
      </c>
      <c r="I181">
        <f>C181-H181</f>
        <v>-7.3241902998034458E-2</v>
      </c>
      <c r="J181">
        <f t="shared" si="15"/>
        <v>-7.3241902998034458E-2</v>
      </c>
      <c r="K181">
        <f t="shared" si="16"/>
        <v>2.3169267603745114</v>
      </c>
      <c r="L181">
        <f t="shared" si="17"/>
        <v>0</v>
      </c>
    </row>
    <row r="182" spans="1:12" x14ac:dyDescent="0.25">
      <c r="A182" s="1">
        <v>43269</v>
      </c>
      <c r="B182">
        <v>160</v>
      </c>
      <c r="C182">
        <v>2.2041199826559246</v>
      </c>
      <c r="D182">
        <v>0</v>
      </c>
      <c r="E182">
        <v>181</v>
      </c>
      <c r="F182">
        <f t="shared" si="12"/>
        <v>0.12053668025532512</v>
      </c>
      <c r="G182">
        <f t="shared" si="13"/>
        <v>-0.99270887409805375</v>
      </c>
      <c r="H182">
        <f t="shared" si="14"/>
        <v>2.2145288288956073</v>
      </c>
      <c r="I182">
        <f>C182-H182</f>
        <v>-1.0408846239682745E-2</v>
      </c>
      <c r="J182">
        <f t="shared" si="15"/>
        <v>-1.0408846239682745E-2</v>
      </c>
      <c r="K182">
        <f t="shared" si="16"/>
        <v>2.3120856505938461</v>
      </c>
      <c r="L182">
        <f t="shared" si="17"/>
        <v>0</v>
      </c>
    </row>
    <row r="183" spans="1:12" x14ac:dyDescent="0.25">
      <c r="A183" s="1">
        <v>43276</v>
      </c>
      <c r="B183">
        <v>168</v>
      </c>
      <c r="C183">
        <v>2.2253092817258628</v>
      </c>
      <c r="D183">
        <v>0</v>
      </c>
      <c r="E183">
        <v>182</v>
      </c>
      <c r="F183">
        <f t="shared" si="12"/>
        <v>8.5760391843603401E-16</v>
      </c>
      <c r="G183">
        <f t="shared" si="13"/>
        <v>-1</v>
      </c>
      <c r="H183">
        <f t="shared" si="14"/>
        <v>2.2099338478834358</v>
      </c>
      <c r="I183">
        <f>C183-H183</f>
        <v>1.5375433842427011E-2</v>
      </c>
      <c r="J183">
        <f t="shared" si="15"/>
        <v>1.5375433842427011E-2</v>
      </c>
      <c r="K183">
        <f t="shared" si="16"/>
        <v>2.3074906695816746</v>
      </c>
      <c r="L183">
        <f t="shared" si="17"/>
        <v>0</v>
      </c>
    </row>
    <row r="184" spans="1:12" x14ac:dyDescent="0.25">
      <c r="A184" s="1">
        <v>43283</v>
      </c>
      <c r="B184">
        <v>182</v>
      </c>
      <c r="C184">
        <v>2.2600713879850747</v>
      </c>
      <c r="D184">
        <v>0</v>
      </c>
      <c r="E184">
        <v>183</v>
      </c>
      <c r="F184">
        <f t="shared" si="12"/>
        <v>-0.1205366802553199</v>
      </c>
      <c r="G184">
        <f t="shared" si="13"/>
        <v>-0.99270887409805442</v>
      </c>
      <c r="H184">
        <f t="shared" si="14"/>
        <v>2.2056520008099119</v>
      </c>
      <c r="I184">
        <f>C184-H184</f>
        <v>5.4419387175162814E-2</v>
      </c>
      <c r="J184">
        <f t="shared" si="15"/>
        <v>5.4419387175162814E-2</v>
      </c>
      <c r="K184">
        <f t="shared" si="16"/>
        <v>2.3032088225081506</v>
      </c>
      <c r="L184">
        <f t="shared" si="17"/>
        <v>0</v>
      </c>
    </row>
    <row r="185" spans="1:12" x14ac:dyDescent="0.25">
      <c r="A185" s="1">
        <v>43290</v>
      </c>
      <c r="B185">
        <v>157</v>
      </c>
      <c r="C185">
        <v>2.1958996524092336</v>
      </c>
      <c r="D185">
        <v>0</v>
      </c>
      <c r="E185">
        <v>184</v>
      </c>
      <c r="F185">
        <f t="shared" si="12"/>
        <v>-0.23931566428755585</v>
      </c>
      <c r="G185">
        <f t="shared" si="13"/>
        <v>-0.97094181742605246</v>
      </c>
      <c r="H185">
        <f t="shared" si="14"/>
        <v>2.2017457266472467</v>
      </c>
      <c r="I185">
        <f>C185-H185</f>
        <v>-5.8460742380130881E-3</v>
      </c>
      <c r="J185">
        <f t="shared" si="15"/>
        <v>-5.8460742380130881E-3</v>
      </c>
      <c r="K185">
        <f t="shared" si="16"/>
        <v>2.2993025483454854</v>
      </c>
      <c r="L185">
        <f t="shared" si="17"/>
        <v>0</v>
      </c>
    </row>
    <row r="186" spans="1:12" x14ac:dyDescent="0.25">
      <c r="A186" s="1">
        <v>43297</v>
      </c>
      <c r="B186">
        <v>164</v>
      </c>
      <c r="C186">
        <v>2.214843848047698</v>
      </c>
      <c r="D186">
        <v>0</v>
      </c>
      <c r="E186">
        <v>185</v>
      </c>
      <c r="F186">
        <f t="shared" si="12"/>
        <v>-0.35460488704253496</v>
      </c>
      <c r="G186">
        <f t="shared" si="13"/>
        <v>-0.93501624268541506</v>
      </c>
      <c r="H186">
        <f t="shared" si="14"/>
        <v>2.1982719876688965</v>
      </c>
      <c r="I186">
        <f>C186-H186</f>
        <v>1.6571860378801428E-2</v>
      </c>
      <c r="J186">
        <f t="shared" si="15"/>
        <v>1.6571860378801428E-2</v>
      </c>
      <c r="K186">
        <f t="shared" si="16"/>
        <v>2.2958288093671353</v>
      </c>
      <c r="L186">
        <f t="shared" si="17"/>
        <v>0</v>
      </c>
    </row>
    <row r="187" spans="1:12" x14ac:dyDescent="0.25">
      <c r="A187" s="1">
        <v>43304</v>
      </c>
      <c r="B187">
        <v>172</v>
      </c>
      <c r="C187">
        <v>2.2355284469075487</v>
      </c>
      <c r="D187">
        <v>0</v>
      </c>
      <c r="E187">
        <v>186</v>
      </c>
      <c r="F187">
        <f t="shared" si="12"/>
        <v>-0.46472317204376584</v>
      </c>
      <c r="G187">
        <f t="shared" si="13"/>
        <v>-0.88545602565321135</v>
      </c>
      <c r="H187">
        <f t="shared" si="14"/>
        <v>2.1952814388113433</v>
      </c>
      <c r="I187">
        <f>C187-H187</f>
        <v>4.0247008096205406E-2</v>
      </c>
      <c r="J187">
        <f t="shared" si="15"/>
        <v>4.0247008096205406E-2</v>
      </c>
      <c r="K187">
        <f t="shared" si="16"/>
        <v>2.2928382605095821</v>
      </c>
      <c r="L187">
        <f t="shared" si="17"/>
        <v>0</v>
      </c>
    </row>
    <row r="188" spans="1:12" x14ac:dyDescent="0.25">
      <c r="A188" s="1">
        <v>43311</v>
      </c>
      <c r="B188">
        <v>160</v>
      </c>
      <c r="C188">
        <v>2.2041199826559246</v>
      </c>
      <c r="D188">
        <v>0</v>
      </c>
      <c r="E188">
        <v>187</v>
      </c>
      <c r="F188">
        <f t="shared" si="12"/>
        <v>-0.56806474673115726</v>
      </c>
      <c r="G188">
        <f t="shared" si="13"/>
        <v>-0.82298386589365546</v>
      </c>
      <c r="H188">
        <f t="shared" si="14"/>
        <v>2.1928176890110604</v>
      </c>
      <c r="I188">
        <f>C188-H188</f>
        <v>1.1302293644864125E-2</v>
      </c>
      <c r="J188">
        <f t="shared" si="15"/>
        <v>1.1302293644864125E-2</v>
      </c>
      <c r="K188">
        <f t="shared" si="16"/>
        <v>2.2903745107092992</v>
      </c>
      <c r="L188">
        <f t="shared" si="17"/>
        <v>0</v>
      </c>
    </row>
    <row r="189" spans="1:12" x14ac:dyDescent="0.25">
      <c r="A189" s="1">
        <v>43318</v>
      </c>
      <c r="B189">
        <v>195</v>
      </c>
      <c r="C189">
        <v>2.2900346113625178</v>
      </c>
      <c r="D189">
        <v>0</v>
      </c>
      <c r="E189">
        <v>188</v>
      </c>
      <c r="F189">
        <f t="shared" si="12"/>
        <v>-0.66312265824079475</v>
      </c>
      <c r="G189">
        <f t="shared" si="13"/>
        <v>-0.74851074817110153</v>
      </c>
      <c r="H189">
        <f t="shared" si="14"/>
        <v>2.1909166652880168</v>
      </c>
      <c r="I189">
        <f>C189-H189</f>
        <v>9.9117946074501084E-2</v>
      </c>
      <c r="J189">
        <f t="shared" si="15"/>
        <v>9.9117946074501084E-2</v>
      </c>
      <c r="K189">
        <f t="shared" si="16"/>
        <v>2.2884734869862555</v>
      </c>
      <c r="L189">
        <f t="shared" si="17"/>
        <v>0.69969291574560089</v>
      </c>
    </row>
    <row r="190" spans="1:12" x14ac:dyDescent="0.25">
      <c r="A190" s="1">
        <v>43325</v>
      </c>
      <c r="B190">
        <v>177</v>
      </c>
      <c r="C190">
        <v>2.2479732663618068</v>
      </c>
      <c r="D190">
        <v>0</v>
      </c>
      <c r="E190">
        <v>189</v>
      </c>
      <c r="F190">
        <f t="shared" si="12"/>
        <v>-0.74851074817110153</v>
      </c>
      <c r="G190">
        <f t="shared" si="13"/>
        <v>-0.66312265824079475</v>
      </c>
      <c r="H190">
        <f t="shared" si="14"/>
        <v>2.1896060888488282</v>
      </c>
      <c r="I190">
        <f>C190-H190</f>
        <v>5.8367177512978596E-2</v>
      </c>
      <c r="J190">
        <f t="shared" si="15"/>
        <v>5.8367177512978596E-2</v>
      </c>
      <c r="K190">
        <f t="shared" si="16"/>
        <v>2.287162910547067</v>
      </c>
      <c r="L190">
        <f t="shared" si="17"/>
        <v>0</v>
      </c>
    </row>
    <row r="191" spans="1:12" x14ac:dyDescent="0.25">
      <c r="A191" s="1">
        <v>43332</v>
      </c>
      <c r="B191">
        <v>144</v>
      </c>
      <c r="C191">
        <v>2.1583624920952498</v>
      </c>
      <c r="D191">
        <v>0</v>
      </c>
      <c r="E191">
        <v>190</v>
      </c>
      <c r="F191">
        <f t="shared" si="12"/>
        <v>-0.82298386589365546</v>
      </c>
      <c r="G191">
        <f t="shared" si="13"/>
        <v>-0.56806474673115726</v>
      </c>
      <c r="H191">
        <f t="shared" si="14"/>
        <v>2.1889050708491387</v>
      </c>
      <c r="I191">
        <f>C191-H191</f>
        <v>-3.0542578753888883E-2</v>
      </c>
      <c r="J191">
        <f t="shared" si="15"/>
        <v>-3.0542578753888883E-2</v>
      </c>
      <c r="K191">
        <f t="shared" si="16"/>
        <v>2.2864618925473774</v>
      </c>
      <c r="L191">
        <f t="shared" si="17"/>
        <v>0</v>
      </c>
    </row>
    <row r="192" spans="1:12" x14ac:dyDescent="0.25">
      <c r="A192" s="1">
        <v>43339</v>
      </c>
      <c r="B192">
        <v>140</v>
      </c>
      <c r="C192">
        <v>2.1461280356782382</v>
      </c>
      <c r="D192">
        <v>0</v>
      </c>
      <c r="E192">
        <v>191</v>
      </c>
      <c r="F192">
        <f t="shared" si="12"/>
        <v>-0.88545602565320969</v>
      </c>
      <c r="G192">
        <f t="shared" si="13"/>
        <v>-0.46472317204376901</v>
      </c>
      <c r="H192">
        <f t="shared" si="14"/>
        <v>2.1888238337099377</v>
      </c>
      <c r="I192">
        <f>C192-H192</f>
        <v>-4.2695798031699539E-2</v>
      </c>
      <c r="J192">
        <f t="shared" si="15"/>
        <v>-4.2695798031699539E-2</v>
      </c>
      <c r="K192">
        <f t="shared" si="16"/>
        <v>2.2863806554081765</v>
      </c>
      <c r="L192">
        <f t="shared" si="17"/>
        <v>0</v>
      </c>
    </row>
    <row r="193" spans="1:12" x14ac:dyDescent="0.25">
      <c r="A193" s="1">
        <v>43346</v>
      </c>
      <c r="B193">
        <v>171</v>
      </c>
      <c r="C193">
        <v>2.2329961103921536</v>
      </c>
      <c r="D193">
        <v>0</v>
      </c>
      <c r="E193">
        <v>192</v>
      </c>
      <c r="F193">
        <f t="shared" si="12"/>
        <v>-0.93501624268541506</v>
      </c>
      <c r="G193">
        <f t="shared" si="13"/>
        <v>-0.35460488704253496</v>
      </c>
      <c r="H193">
        <f t="shared" si="14"/>
        <v>2.1893635620516463</v>
      </c>
      <c r="I193">
        <f>C193-H193</f>
        <v>4.3632548340507338E-2</v>
      </c>
      <c r="J193">
        <f t="shared" si="15"/>
        <v>4.3632548340507338E-2</v>
      </c>
      <c r="K193">
        <f t="shared" si="16"/>
        <v>2.286920383749885</v>
      </c>
      <c r="L193">
        <f t="shared" si="17"/>
        <v>0</v>
      </c>
    </row>
    <row r="194" spans="1:12" x14ac:dyDescent="0.25">
      <c r="A194" s="1">
        <v>43353</v>
      </c>
      <c r="B194">
        <v>142</v>
      </c>
      <c r="C194">
        <v>2.1522883443830563</v>
      </c>
      <c r="D194">
        <v>0</v>
      </c>
      <c r="E194">
        <v>193</v>
      </c>
      <c r="F194">
        <f t="shared" si="12"/>
        <v>-0.97094181742605168</v>
      </c>
      <c r="G194">
        <f t="shared" si="13"/>
        <v>-0.23931566428755932</v>
      </c>
      <c r="H194">
        <f t="shared" si="14"/>
        <v>2.190516385419679</v>
      </c>
      <c r="I194">
        <f>C194-H194</f>
        <v>-3.8228041036622695E-2</v>
      </c>
      <c r="J194">
        <f t="shared" si="15"/>
        <v>-3.8228041036622695E-2</v>
      </c>
      <c r="K194">
        <f t="shared" si="16"/>
        <v>2.2880732071179177</v>
      </c>
      <c r="L194">
        <f t="shared" si="17"/>
        <v>0</v>
      </c>
    </row>
    <row r="195" spans="1:12" x14ac:dyDescent="0.25">
      <c r="A195" s="1">
        <v>43360</v>
      </c>
      <c r="B195">
        <v>161</v>
      </c>
      <c r="C195">
        <v>2.2068258760318495</v>
      </c>
      <c r="D195">
        <v>0</v>
      </c>
      <c r="E195">
        <v>194</v>
      </c>
      <c r="F195">
        <f t="shared" ref="F195:F258" si="18">SIN(2*PI()*E195/52)</f>
        <v>-0.99270887409805397</v>
      </c>
      <c r="G195">
        <f t="shared" ref="G195:G258" si="19">COS(2*PI()*E195/52)</f>
        <v>-0.12053668025532342</v>
      </c>
      <c r="H195">
        <f t="shared" ref="H195:H258" si="20">$P$2+$N$2*F195+$O$2*G195</f>
        <v>2.1922654930533985</v>
      </c>
      <c r="I195">
        <f>C195-H195</f>
        <v>1.4560382978451081E-2</v>
      </c>
      <c r="J195">
        <f t="shared" ref="J195:J258" si="21">IF(D195,"",I195)</f>
        <v>1.4560382978451081E-2</v>
      </c>
      <c r="K195">
        <f t="shared" ref="K195:K258" si="22">H195+$S$2</f>
        <v>2.2898223147516372</v>
      </c>
      <c r="L195">
        <f t="shared" ref="L195:L258" si="23">IF(C195-K195&gt;0,10^C195-10^K195,0)</f>
        <v>0</v>
      </c>
    </row>
    <row r="196" spans="1:12" x14ac:dyDescent="0.25">
      <c r="A196" s="1">
        <v>43367</v>
      </c>
      <c r="B196">
        <v>146</v>
      </c>
      <c r="C196">
        <v>2.1643528557844371</v>
      </c>
      <c r="D196">
        <v>0</v>
      </c>
      <c r="E196">
        <v>195</v>
      </c>
      <c r="F196">
        <f t="shared" si="18"/>
        <v>-1</v>
      </c>
      <c r="G196">
        <f t="shared" si="19"/>
        <v>-2.6952181805817155E-15</v>
      </c>
      <c r="H196">
        <f t="shared" si="20"/>
        <v>2.1945853790248577</v>
      </c>
      <c r="I196">
        <f>C196-H196</f>
        <v>-3.0232523240420583E-2</v>
      </c>
      <c r="J196">
        <f t="shared" si="21"/>
        <v>-3.0232523240420583E-2</v>
      </c>
      <c r="K196">
        <f t="shared" si="22"/>
        <v>2.2921422007230965</v>
      </c>
      <c r="L196">
        <f t="shared" si="23"/>
        <v>0</v>
      </c>
    </row>
    <row r="197" spans="1:12" x14ac:dyDescent="0.25">
      <c r="A197" s="1">
        <v>43374</v>
      </c>
      <c r="B197">
        <v>143</v>
      </c>
      <c r="C197">
        <v>2.1553360374650619</v>
      </c>
      <c r="D197">
        <v>0</v>
      </c>
      <c r="E197">
        <v>196</v>
      </c>
      <c r="F197">
        <f t="shared" si="18"/>
        <v>-0.99270887409805419</v>
      </c>
      <c r="G197">
        <f t="shared" si="19"/>
        <v>0.12053668025532159</v>
      </c>
      <c r="H197">
        <f t="shared" si="20"/>
        <v>2.1974422141726637</v>
      </c>
      <c r="I197">
        <f>C197-H197</f>
        <v>-4.2106176707601861E-2</v>
      </c>
      <c r="J197">
        <f t="shared" si="21"/>
        <v>-4.2106176707601861E-2</v>
      </c>
      <c r="K197">
        <f t="shared" si="22"/>
        <v>2.2949990358709025</v>
      </c>
      <c r="L197">
        <f t="shared" si="23"/>
        <v>0</v>
      </c>
    </row>
    <row r="198" spans="1:12" x14ac:dyDescent="0.25">
      <c r="A198" s="1">
        <v>43381</v>
      </c>
      <c r="B198">
        <v>174</v>
      </c>
      <c r="C198">
        <v>2.2405492482825999</v>
      </c>
      <c r="D198">
        <v>0</v>
      </c>
      <c r="E198">
        <v>197</v>
      </c>
      <c r="F198">
        <f t="shared" si="18"/>
        <v>-0.9709418174260529</v>
      </c>
      <c r="G198">
        <f t="shared" si="19"/>
        <v>0.23931566428755408</v>
      </c>
      <c r="H198">
        <f t="shared" si="20"/>
        <v>2.2007943394073295</v>
      </c>
      <c r="I198">
        <f>C198-H198</f>
        <v>3.9754908875270445E-2</v>
      </c>
      <c r="J198">
        <f t="shared" si="21"/>
        <v>3.9754908875270445E-2</v>
      </c>
      <c r="K198">
        <f t="shared" si="22"/>
        <v>2.2983511611055683</v>
      </c>
      <c r="L198">
        <f t="shared" si="23"/>
        <v>0</v>
      </c>
    </row>
    <row r="199" spans="1:12" x14ac:dyDescent="0.25">
      <c r="A199" s="1">
        <v>43388</v>
      </c>
      <c r="B199">
        <v>167</v>
      </c>
      <c r="C199">
        <v>2.2227164711475833</v>
      </c>
      <c r="D199">
        <v>0</v>
      </c>
      <c r="E199">
        <v>198</v>
      </c>
      <c r="F199">
        <f t="shared" si="18"/>
        <v>-0.9350162426854145</v>
      </c>
      <c r="G199">
        <f t="shared" si="19"/>
        <v>0.35460488704253657</v>
      </c>
      <c r="H199">
        <f t="shared" si="20"/>
        <v>2.2045928731946054</v>
      </c>
      <c r="I199">
        <f>C199-H199</f>
        <v>1.812359795297791E-2</v>
      </c>
      <c r="J199">
        <f t="shared" si="21"/>
        <v>1.812359795297791E-2</v>
      </c>
      <c r="K199">
        <f t="shared" si="22"/>
        <v>2.3021496948928442</v>
      </c>
      <c r="L199">
        <f t="shared" si="23"/>
        <v>0</v>
      </c>
    </row>
    <row r="200" spans="1:12" x14ac:dyDescent="0.25">
      <c r="A200" s="1">
        <v>43395</v>
      </c>
      <c r="B200">
        <v>157</v>
      </c>
      <c r="C200">
        <v>2.1958996524092336</v>
      </c>
      <c r="D200">
        <v>0</v>
      </c>
      <c r="E200">
        <v>199</v>
      </c>
      <c r="F200">
        <f t="shared" si="18"/>
        <v>-0.88545602565320891</v>
      </c>
      <c r="G200">
        <f t="shared" si="19"/>
        <v>0.4647231720437705</v>
      </c>
      <c r="H200">
        <f t="shared" si="20"/>
        <v>2.2087824243583194</v>
      </c>
      <c r="I200">
        <f>C200-H200</f>
        <v>-1.2882771949085825E-2</v>
      </c>
      <c r="J200">
        <f t="shared" si="21"/>
        <v>-1.2882771949085825E-2</v>
      </c>
      <c r="K200">
        <f t="shared" si="22"/>
        <v>2.3063392460565582</v>
      </c>
      <c r="L200">
        <f t="shared" si="23"/>
        <v>0</v>
      </c>
    </row>
    <row r="201" spans="1:12" x14ac:dyDescent="0.25">
      <c r="A201" s="1">
        <v>43402</v>
      </c>
      <c r="B201">
        <v>149</v>
      </c>
      <c r="C201">
        <v>2.173186268412274</v>
      </c>
      <c r="D201">
        <v>0</v>
      </c>
      <c r="E201">
        <v>200</v>
      </c>
      <c r="F201">
        <f t="shared" si="18"/>
        <v>-0.82298386589365646</v>
      </c>
      <c r="G201">
        <f t="shared" si="19"/>
        <v>0.5680647467311557</v>
      </c>
      <c r="H201">
        <f t="shared" si="20"/>
        <v>2.213301899808457</v>
      </c>
      <c r="I201">
        <f>C201-H201</f>
        <v>-4.0115631396183016E-2</v>
      </c>
      <c r="J201">
        <f t="shared" si="21"/>
        <v>-4.0115631396183016E-2</v>
      </c>
      <c r="K201">
        <f t="shared" si="22"/>
        <v>2.3108587215066958</v>
      </c>
      <c r="L201">
        <f t="shared" si="23"/>
        <v>0</v>
      </c>
    </row>
    <row r="202" spans="1:12" x14ac:dyDescent="0.25">
      <c r="A202" s="1">
        <v>43409</v>
      </c>
      <c r="B202">
        <v>161</v>
      </c>
      <c r="C202">
        <v>2.2068258760318495</v>
      </c>
      <c r="D202">
        <v>0</v>
      </c>
      <c r="E202">
        <v>201</v>
      </c>
      <c r="F202">
        <f t="shared" si="18"/>
        <v>-0.74851074817110042</v>
      </c>
      <c r="G202">
        <f t="shared" si="19"/>
        <v>0.66312265824079608</v>
      </c>
      <c r="H202">
        <f t="shared" si="20"/>
        <v>2.2180853954159825</v>
      </c>
      <c r="I202">
        <f>C202-H202</f>
        <v>-1.1259519384132943E-2</v>
      </c>
      <c r="J202">
        <f t="shared" si="21"/>
        <v>-1.1259519384132943E-2</v>
      </c>
      <c r="K202">
        <f t="shared" si="22"/>
        <v>2.3156422171142212</v>
      </c>
      <c r="L202">
        <f t="shared" si="23"/>
        <v>0</v>
      </c>
    </row>
    <row r="203" spans="1:12" x14ac:dyDescent="0.25">
      <c r="A203" s="1">
        <v>43416</v>
      </c>
      <c r="B203">
        <v>176</v>
      </c>
      <c r="C203">
        <v>2.2455126678141499</v>
      </c>
      <c r="D203">
        <v>0</v>
      </c>
      <c r="E203">
        <v>202</v>
      </c>
      <c r="F203">
        <f t="shared" si="18"/>
        <v>-0.66312265824079608</v>
      </c>
      <c r="G203">
        <f t="shared" si="19"/>
        <v>0.7485107481711003</v>
      </c>
      <c r="H203">
        <f t="shared" si="20"/>
        <v>2.2230631570434438</v>
      </c>
      <c r="I203">
        <f>C203-H203</f>
        <v>2.2449510770706116E-2</v>
      </c>
      <c r="J203">
        <f t="shared" si="21"/>
        <v>2.2449510770706116E-2</v>
      </c>
      <c r="K203">
        <f t="shared" si="22"/>
        <v>2.3206199787416826</v>
      </c>
      <c r="L203">
        <f t="shared" si="23"/>
        <v>0</v>
      </c>
    </row>
    <row r="204" spans="1:12" x14ac:dyDescent="0.25">
      <c r="A204" s="1">
        <v>43423</v>
      </c>
      <c r="B204">
        <v>153</v>
      </c>
      <c r="C204">
        <v>2.1846914308175989</v>
      </c>
      <c r="D204">
        <v>0</v>
      </c>
      <c r="E204">
        <v>203</v>
      </c>
      <c r="F204">
        <f t="shared" si="18"/>
        <v>-0.56806474673115581</v>
      </c>
      <c r="G204">
        <f t="shared" si="19"/>
        <v>0.82298386589365635</v>
      </c>
      <c r="H204">
        <f t="shared" si="20"/>
        <v>2.2281625977173709</v>
      </c>
      <c r="I204">
        <f>C204-H204</f>
        <v>-4.347116689977204E-2</v>
      </c>
      <c r="J204">
        <f t="shared" si="21"/>
        <v>-4.347116689977204E-2</v>
      </c>
      <c r="K204">
        <f t="shared" si="22"/>
        <v>2.3257194194156097</v>
      </c>
      <c r="L204">
        <f t="shared" si="23"/>
        <v>0</v>
      </c>
    </row>
    <row r="205" spans="1:12" x14ac:dyDescent="0.25">
      <c r="A205" s="1">
        <v>43430</v>
      </c>
      <c r="B205">
        <v>186</v>
      </c>
      <c r="C205">
        <v>2.2695129442179165</v>
      </c>
      <c r="D205">
        <v>0</v>
      </c>
      <c r="E205">
        <v>204</v>
      </c>
      <c r="F205">
        <f t="shared" si="18"/>
        <v>-0.46472317204377062</v>
      </c>
      <c r="G205">
        <f t="shared" si="19"/>
        <v>0.8854560256532088</v>
      </c>
      <c r="H205">
        <f t="shared" si="20"/>
        <v>2.2333093561097965</v>
      </c>
      <c r="I205">
        <f>C205-H205</f>
        <v>3.6203588108119966E-2</v>
      </c>
      <c r="J205">
        <f t="shared" si="21"/>
        <v>3.6203588108119966E-2</v>
      </c>
      <c r="K205">
        <f t="shared" si="22"/>
        <v>2.3308661778080353</v>
      </c>
      <c r="L205">
        <f t="shared" si="23"/>
        <v>0</v>
      </c>
    </row>
    <row r="206" spans="1:12" x14ac:dyDescent="0.25">
      <c r="A206" s="1">
        <v>43437</v>
      </c>
      <c r="B206">
        <v>190</v>
      </c>
      <c r="C206">
        <v>2.2787536009528289</v>
      </c>
      <c r="D206">
        <v>0</v>
      </c>
      <c r="E206">
        <v>205</v>
      </c>
      <c r="F206">
        <f t="shared" si="18"/>
        <v>-0.35460488704253668</v>
      </c>
      <c r="G206">
        <f t="shared" si="19"/>
        <v>0.93501624268541439</v>
      </c>
      <c r="H206">
        <f t="shared" si="20"/>
        <v>2.2384283808938683</v>
      </c>
      <c r="I206">
        <f>C206-H206</f>
        <v>4.0325220058960554E-2</v>
      </c>
      <c r="J206">
        <f t="shared" si="21"/>
        <v>4.0325220058960554E-2</v>
      </c>
      <c r="K206">
        <f t="shared" si="22"/>
        <v>2.3359852025921071</v>
      </c>
      <c r="L206">
        <f t="shared" si="23"/>
        <v>0</v>
      </c>
    </row>
    <row r="207" spans="1:12" x14ac:dyDescent="0.25">
      <c r="A207" s="1">
        <v>43444</v>
      </c>
      <c r="B207">
        <v>196</v>
      </c>
      <c r="C207">
        <v>2.2922560713564759</v>
      </c>
      <c r="D207">
        <v>0</v>
      </c>
      <c r="E207">
        <v>206</v>
      </c>
      <c r="F207">
        <f t="shared" si="18"/>
        <v>-0.2393156642875611</v>
      </c>
      <c r="G207">
        <f t="shared" si="19"/>
        <v>0.97094181742605123</v>
      </c>
      <c r="H207">
        <f t="shared" si="20"/>
        <v>2.2434450251611957</v>
      </c>
      <c r="I207">
        <f>C207-H207</f>
        <v>4.8811046195280205E-2</v>
      </c>
      <c r="J207">
        <f t="shared" si="21"/>
        <v>4.8811046195280205E-2</v>
      </c>
      <c r="K207">
        <f t="shared" si="22"/>
        <v>2.3410018468594345</v>
      </c>
      <c r="L207">
        <f t="shared" si="23"/>
        <v>0</v>
      </c>
    </row>
    <row r="208" spans="1:12" x14ac:dyDescent="0.25">
      <c r="A208" s="1">
        <v>43451</v>
      </c>
      <c r="B208">
        <v>175</v>
      </c>
      <c r="C208">
        <v>2.2430380486862944</v>
      </c>
      <c r="D208">
        <v>0</v>
      </c>
      <c r="E208">
        <v>207</v>
      </c>
      <c r="F208">
        <f t="shared" si="18"/>
        <v>-0.12053668025532524</v>
      </c>
      <c r="G208">
        <f t="shared" si="19"/>
        <v>0.99270887409805375</v>
      </c>
      <c r="H208">
        <f t="shared" si="20"/>
        <v>2.248286134941861</v>
      </c>
      <c r="I208">
        <f>C208-H208</f>
        <v>-5.2480862555666086E-3</v>
      </c>
      <c r="J208">
        <f t="shared" si="21"/>
        <v>-5.2480862555666086E-3</v>
      </c>
      <c r="K208">
        <f t="shared" si="22"/>
        <v>2.3458429566400998</v>
      </c>
      <c r="L208">
        <f t="shared" si="23"/>
        <v>0</v>
      </c>
    </row>
    <row r="209" spans="1:12" x14ac:dyDescent="0.25">
      <c r="A209" s="1">
        <v>43458</v>
      </c>
      <c r="B209">
        <v>161</v>
      </c>
      <c r="C209">
        <v>2.2068258760318495</v>
      </c>
      <c r="D209">
        <v>0</v>
      </c>
      <c r="E209">
        <v>208</v>
      </c>
      <c r="F209">
        <f t="shared" si="18"/>
        <v>2.5725949148736049E-15</v>
      </c>
      <c r="G209">
        <f t="shared" si="19"/>
        <v>1</v>
      </c>
      <c r="H209">
        <f t="shared" si="20"/>
        <v>2.2528811159540325</v>
      </c>
      <c r="I209">
        <f>C209-H209</f>
        <v>-4.6055239922182967E-2</v>
      </c>
      <c r="J209">
        <f t="shared" si="21"/>
        <v>-4.6055239922182967E-2</v>
      </c>
      <c r="K209">
        <f t="shared" si="22"/>
        <v>2.3504379376522713</v>
      </c>
      <c r="L209">
        <f t="shared" si="23"/>
        <v>0</v>
      </c>
    </row>
    <row r="210" spans="1:12" x14ac:dyDescent="0.25">
      <c r="A210" s="1">
        <v>43465</v>
      </c>
      <c r="B210">
        <v>187</v>
      </c>
      <c r="C210">
        <v>2.271841606536499</v>
      </c>
      <c r="D210">
        <v>0</v>
      </c>
      <c r="E210">
        <v>209</v>
      </c>
      <c r="F210">
        <f t="shared" si="18"/>
        <v>0.1205366802553233</v>
      </c>
      <c r="G210">
        <f t="shared" si="19"/>
        <v>0.99270887409805397</v>
      </c>
      <c r="H210">
        <f t="shared" si="20"/>
        <v>2.2571629630275569</v>
      </c>
      <c r="I210">
        <f>C210-H210</f>
        <v>1.4678643508942102E-2</v>
      </c>
      <c r="J210">
        <f t="shared" si="21"/>
        <v>1.4678643508942102E-2</v>
      </c>
      <c r="K210">
        <f t="shared" si="22"/>
        <v>2.3547197847257957</v>
      </c>
      <c r="L210">
        <f t="shared" si="23"/>
        <v>0</v>
      </c>
    </row>
    <row r="211" spans="1:12" x14ac:dyDescent="0.25">
      <c r="A211" s="1">
        <v>43472</v>
      </c>
      <c r="B211">
        <v>195</v>
      </c>
      <c r="C211">
        <v>2.2900346113625178</v>
      </c>
      <c r="D211">
        <v>0</v>
      </c>
      <c r="E211">
        <v>210</v>
      </c>
      <c r="F211">
        <f t="shared" si="18"/>
        <v>0.23931566428755918</v>
      </c>
      <c r="G211">
        <f t="shared" si="19"/>
        <v>0.97094181742605168</v>
      </c>
      <c r="H211">
        <f t="shared" si="20"/>
        <v>2.2610692371902217</v>
      </c>
      <c r="I211">
        <f>C211-H211</f>
        <v>2.8965374172296166E-2</v>
      </c>
      <c r="J211">
        <f t="shared" si="21"/>
        <v>2.8965374172296166E-2</v>
      </c>
      <c r="K211">
        <f t="shared" si="22"/>
        <v>2.3586260588884604</v>
      </c>
      <c r="L211">
        <f t="shared" si="23"/>
        <v>0</v>
      </c>
    </row>
    <row r="212" spans="1:12" x14ac:dyDescent="0.25">
      <c r="A212" s="1">
        <v>43479</v>
      </c>
      <c r="B212">
        <v>203</v>
      </c>
      <c r="C212">
        <v>2.307496037913213</v>
      </c>
      <c r="D212">
        <v>0</v>
      </c>
      <c r="E212">
        <v>211</v>
      </c>
      <c r="F212">
        <f t="shared" si="18"/>
        <v>0.35460488704253484</v>
      </c>
      <c r="G212">
        <f t="shared" si="19"/>
        <v>0.93501624268541517</v>
      </c>
      <c r="H212">
        <f t="shared" si="20"/>
        <v>2.2645429761685718</v>
      </c>
      <c r="I212">
        <f>C212-H212</f>
        <v>4.2953061744641197E-2</v>
      </c>
      <c r="J212">
        <f t="shared" si="21"/>
        <v>4.2953061744641197E-2</v>
      </c>
      <c r="K212">
        <f t="shared" si="22"/>
        <v>2.3620997978668106</v>
      </c>
      <c r="L212">
        <f t="shared" si="23"/>
        <v>0</v>
      </c>
    </row>
    <row r="213" spans="1:12" x14ac:dyDescent="0.25">
      <c r="A213" s="1">
        <v>43486</v>
      </c>
      <c r="B213">
        <v>202</v>
      </c>
      <c r="C213">
        <v>2.3053513694466239</v>
      </c>
      <c r="D213">
        <v>0</v>
      </c>
      <c r="E213">
        <v>212</v>
      </c>
      <c r="F213">
        <f t="shared" si="18"/>
        <v>0.4647231720437689</v>
      </c>
      <c r="G213">
        <f t="shared" si="19"/>
        <v>0.88545602565320969</v>
      </c>
      <c r="H213">
        <f t="shared" si="20"/>
        <v>2.2675335250261255</v>
      </c>
      <c r="I213">
        <f>C213-H213</f>
        <v>3.7817844420498403E-2</v>
      </c>
      <c r="J213">
        <f t="shared" si="21"/>
        <v>3.7817844420498403E-2</v>
      </c>
      <c r="K213">
        <f t="shared" si="22"/>
        <v>2.3650903467243642</v>
      </c>
      <c r="L213">
        <f t="shared" si="23"/>
        <v>0</v>
      </c>
    </row>
    <row r="214" spans="1:12" x14ac:dyDescent="0.25">
      <c r="A214" s="1">
        <v>43493</v>
      </c>
      <c r="B214">
        <v>192</v>
      </c>
      <c r="C214">
        <v>2.2833012287035497</v>
      </c>
      <c r="D214">
        <v>0</v>
      </c>
      <c r="E214">
        <v>213</v>
      </c>
      <c r="F214">
        <f t="shared" si="18"/>
        <v>0.56806474673115415</v>
      </c>
      <c r="G214">
        <f t="shared" si="19"/>
        <v>0.82298386589365746</v>
      </c>
      <c r="H214">
        <f t="shared" si="20"/>
        <v>2.2699972748264079</v>
      </c>
      <c r="I214">
        <f>C214-H214</f>
        <v>1.3303953877141783E-2</v>
      </c>
      <c r="J214">
        <f t="shared" si="21"/>
        <v>1.3303953877141783E-2</v>
      </c>
      <c r="K214">
        <f t="shared" si="22"/>
        <v>2.3675540965246467</v>
      </c>
      <c r="L214">
        <f t="shared" si="23"/>
        <v>0</v>
      </c>
    </row>
    <row r="215" spans="1:12" x14ac:dyDescent="0.25">
      <c r="A215" s="1">
        <v>43500</v>
      </c>
      <c r="B215">
        <v>195</v>
      </c>
      <c r="C215">
        <v>2.2900346113625178</v>
      </c>
      <c r="D215">
        <v>0</v>
      </c>
      <c r="E215">
        <v>214</v>
      </c>
      <c r="F215">
        <f t="shared" si="18"/>
        <v>0.66312265824079464</v>
      </c>
      <c r="G215">
        <f t="shared" si="19"/>
        <v>0.74851074817110164</v>
      </c>
      <c r="H215">
        <f t="shared" si="20"/>
        <v>2.2718982985494516</v>
      </c>
      <c r="I215">
        <f>C215-H215</f>
        <v>1.8136312813066269E-2</v>
      </c>
      <c r="J215">
        <f t="shared" si="21"/>
        <v>1.8136312813066269E-2</v>
      </c>
      <c r="K215">
        <f t="shared" si="22"/>
        <v>2.3694551202476903</v>
      </c>
      <c r="L215">
        <f t="shared" si="23"/>
        <v>0</v>
      </c>
    </row>
    <row r="216" spans="1:12" x14ac:dyDescent="0.25">
      <c r="A216" s="1">
        <v>43507</v>
      </c>
      <c r="B216">
        <v>190</v>
      </c>
      <c r="C216">
        <v>2.2787536009528289</v>
      </c>
      <c r="D216">
        <v>0</v>
      </c>
      <c r="E216">
        <v>215</v>
      </c>
      <c r="F216">
        <f t="shared" si="18"/>
        <v>0.74851074817109908</v>
      </c>
      <c r="G216">
        <f t="shared" si="19"/>
        <v>0.66312265824079752</v>
      </c>
      <c r="H216">
        <f t="shared" si="20"/>
        <v>2.2732088749886397</v>
      </c>
      <c r="I216">
        <f>C216-H216</f>
        <v>5.5447259641892011E-3</v>
      </c>
      <c r="J216">
        <f t="shared" si="21"/>
        <v>5.5447259641892011E-3</v>
      </c>
      <c r="K216">
        <f t="shared" si="22"/>
        <v>2.3707656966868784</v>
      </c>
      <c r="L216">
        <f t="shared" si="23"/>
        <v>0</v>
      </c>
    </row>
    <row r="217" spans="1:12" x14ac:dyDescent="0.25">
      <c r="A217" s="1">
        <v>43514</v>
      </c>
      <c r="B217">
        <v>202</v>
      </c>
      <c r="C217">
        <v>2.3053513694466239</v>
      </c>
      <c r="D217">
        <v>0</v>
      </c>
      <c r="E217">
        <v>216</v>
      </c>
      <c r="F217">
        <f t="shared" si="18"/>
        <v>0.82298386589365535</v>
      </c>
      <c r="G217">
        <f t="shared" si="19"/>
        <v>0.56806474673115737</v>
      </c>
      <c r="H217">
        <f t="shared" si="20"/>
        <v>2.2739098929883297</v>
      </c>
      <c r="I217">
        <f>C217-H217</f>
        <v>3.1441476458294204E-2</v>
      </c>
      <c r="J217">
        <f t="shared" si="21"/>
        <v>3.1441476458294204E-2</v>
      </c>
      <c r="K217">
        <f t="shared" si="22"/>
        <v>2.3714667146865684</v>
      </c>
      <c r="L217">
        <f t="shared" si="23"/>
        <v>0</v>
      </c>
    </row>
    <row r="218" spans="1:12" x14ac:dyDescent="0.25">
      <c r="A218" s="1">
        <v>43521</v>
      </c>
      <c r="B218">
        <v>202</v>
      </c>
      <c r="C218">
        <v>2.3053513694466239</v>
      </c>
      <c r="D218">
        <v>0</v>
      </c>
      <c r="E218">
        <v>217</v>
      </c>
      <c r="F218">
        <f t="shared" si="18"/>
        <v>0.88545602565320791</v>
      </c>
      <c r="G218">
        <f t="shared" si="19"/>
        <v>0.46472317204377223</v>
      </c>
      <c r="H218">
        <f t="shared" si="20"/>
        <v>2.2739911301275306</v>
      </c>
      <c r="I218">
        <f>C218-H218</f>
        <v>3.1360239319093264E-2</v>
      </c>
      <c r="J218">
        <f t="shared" si="21"/>
        <v>3.1360239319093264E-2</v>
      </c>
      <c r="K218">
        <f t="shared" si="22"/>
        <v>2.3715479518257694</v>
      </c>
      <c r="L218">
        <f t="shared" si="23"/>
        <v>0</v>
      </c>
    </row>
    <row r="219" spans="1:12" x14ac:dyDescent="0.25">
      <c r="A219" s="1">
        <v>43528</v>
      </c>
      <c r="B219">
        <v>187</v>
      </c>
      <c r="C219">
        <v>2.271841606536499</v>
      </c>
      <c r="D219">
        <v>0</v>
      </c>
      <c r="E219">
        <v>218</v>
      </c>
      <c r="F219">
        <f t="shared" si="18"/>
        <v>0.93501624268541383</v>
      </c>
      <c r="G219">
        <f t="shared" si="19"/>
        <v>0.3546048870425384</v>
      </c>
      <c r="H219">
        <f t="shared" si="20"/>
        <v>2.2734514017858221</v>
      </c>
      <c r="I219">
        <f>C219-H219</f>
        <v>-1.6097952493230316E-3</v>
      </c>
      <c r="J219">
        <f t="shared" si="21"/>
        <v>-1.6097952493230316E-3</v>
      </c>
      <c r="K219">
        <f t="shared" si="22"/>
        <v>2.3710082234840608</v>
      </c>
      <c r="L219">
        <f t="shared" si="23"/>
        <v>0</v>
      </c>
    </row>
    <row r="220" spans="1:12" x14ac:dyDescent="0.25">
      <c r="A220" s="1">
        <v>43535</v>
      </c>
      <c r="B220">
        <v>168</v>
      </c>
      <c r="C220">
        <v>2.2253092817258628</v>
      </c>
      <c r="D220">
        <v>0</v>
      </c>
      <c r="E220">
        <v>219</v>
      </c>
      <c r="F220">
        <f t="shared" si="18"/>
        <v>0.97094181742605246</v>
      </c>
      <c r="G220">
        <f t="shared" si="19"/>
        <v>0.23931566428755599</v>
      </c>
      <c r="H220">
        <f t="shared" si="20"/>
        <v>2.2722985784177894</v>
      </c>
      <c r="I220">
        <f>C220-H220</f>
        <v>-4.698929669192653E-2</v>
      </c>
      <c r="J220">
        <f t="shared" si="21"/>
        <v>-4.698929669192653E-2</v>
      </c>
      <c r="K220">
        <f t="shared" si="22"/>
        <v>2.3698554001160281</v>
      </c>
      <c r="L220">
        <f t="shared" si="23"/>
        <v>0</v>
      </c>
    </row>
    <row r="221" spans="1:12" x14ac:dyDescent="0.25">
      <c r="A221" s="1">
        <v>43542</v>
      </c>
      <c r="B221">
        <v>163</v>
      </c>
      <c r="C221">
        <v>2.2121876044039577</v>
      </c>
      <c r="D221">
        <v>0</v>
      </c>
      <c r="E221">
        <v>220</v>
      </c>
      <c r="F221">
        <f t="shared" si="18"/>
        <v>0.99270887409805397</v>
      </c>
      <c r="G221">
        <f t="shared" si="19"/>
        <v>0.12053668025532353</v>
      </c>
      <c r="H221">
        <f t="shared" si="20"/>
        <v>2.2705494707840699</v>
      </c>
      <c r="I221">
        <f>C221-H221</f>
        <v>-5.8361866380112204E-2</v>
      </c>
      <c r="J221">
        <f t="shared" si="21"/>
        <v>-5.8361866380112204E-2</v>
      </c>
      <c r="K221">
        <f t="shared" si="22"/>
        <v>2.3681062924823086</v>
      </c>
      <c r="L221">
        <f t="shared" si="23"/>
        <v>0</v>
      </c>
    </row>
    <row r="222" spans="1:12" x14ac:dyDescent="0.25">
      <c r="A222" s="1">
        <v>43549</v>
      </c>
      <c r="B222">
        <v>179</v>
      </c>
      <c r="C222">
        <v>2.2528530309798933</v>
      </c>
      <c r="D222">
        <v>0</v>
      </c>
      <c r="E222">
        <v>221</v>
      </c>
      <c r="F222">
        <f t="shared" si="18"/>
        <v>1</v>
      </c>
      <c r="G222">
        <f t="shared" si="19"/>
        <v>-7.3498065272792346E-16</v>
      </c>
      <c r="H222">
        <f t="shared" si="20"/>
        <v>2.2682295848126106</v>
      </c>
      <c r="I222">
        <f>C222-H222</f>
        <v>-1.5376553832717299E-2</v>
      </c>
      <c r="J222">
        <f t="shared" si="21"/>
        <v>-1.5376553832717299E-2</v>
      </c>
      <c r="K222">
        <f t="shared" si="22"/>
        <v>2.3657864065108494</v>
      </c>
      <c r="L222">
        <f t="shared" si="23"/>
        <v>0</v>
      </c>
    </row>
    <row r="223" spans="1:12" x14ac:dyDescent="0.25">
      <c r="A223" s="1">
        <v>43556</v>
      </c>
      <c r="B223">
        <v>138</v>
      </c>
      <c r="C223">
        <v>2.1398790864012365</v>
      </c>
      <c r="D223">
        <v>0</v>
      </c>
      <c r="E223">
        <v>222</v>
      </c>
      <c r="F223">
        <f t="shared" si="18"/>
        <v>0.99270887409805419</v>
      </c>
      <c r="G223">
        <f t="shared" si="19"/>
        <v>-0.12053668025532147</v>
      </c>
      <c r="H223">
        <f t="shared" si="20"/>
        <v>2.2653727496648046</v>
      </c>
      <c r="I223">
        <f>C223-H223</f>
        <v>-0.12549366326356814</v>
      </c>
      <c r="J223">
        <f t="shared" si="21"/>
        <v>-0.12549366326356814</v>
      </c>
      <c r="K223">
        <f t="shared" si="22"/>
        <v>2.3629295713630434</v>
      </c>
      <c r="L223">
        <f t="shared" si="23"/>
        <v>0</v>
      </c>
    </row>
    <row r="224" spans="1:12" x14ac:dyDescent="0.25">
      <c r="A224" s="1">
        <v>43563</v>
      </c>
      <c r="B224">
        <v>174</v>
      </c>
      <c r="C224">
        <v>2.2405492482825999</v>
      </c>
      <c r="D224">
        <v>0</v>
      </c>
      <c r="E224">
        <v>223</v>
      </c>
      <c r="F224">
        <f t="shared" si="18"/>
        <v>0.97094181742605212</v>
      </c>
      <c r="G224">
        <f t="shared" si="19"/>
        <v>-0.23931566428755741</v>
      </c>
      <c r="H224">
        <f t="shared" si="20"/>
        <v>2.2620206244301384</v>
      </c>
      <c r="I224">
        <f>C224-H224</f>
        <v>-2.1471376147538468E-2</v>
      </c>
      <c r="J224">
        <f t="shared" si="21"/>
        <v>-2.1471376147538468E-2</v>
      </c>
      <c r="K224">
        <f t="shared" si="22"/>
        <v>2.3595774461283772</v>
      </c>
      <c r="L224">
        <f t="shared" si="23"/>
        <v>0</v>
      </c>
    </row>
    <row r="225" spans="1:12" x14ac:dyDescent="0.25">
      <c r="A225" s="1">
        <v>43570</v>
      </c>
      <c r="B225">
        <v>193</v>
      </c>
      <c r="C225">
        <v>2.2855573090077739</v>
      </c>
      <c r="D225">
        <v>0</v>
      </c>
      <c r="E225">
        <v>224</v>
      </c>
      <c r="F225">
        <f t="shared" si="18"/>
        <v>0.93501624268541583</v>
      </c>
      <c r="G225">
        <f t="shared" si="19"/>
        <v>-0.35460488704253312</v>
      </c>
      <c r="H225">
        <f t="shared" si="20"/>
        <v>2.2582220906428629</v>
      </c>
      <c r="I225">
        <f>C225-H225</f>
        <v>2.7335218364910929E-2</v>
      </c>
      <c r="J225">
        <f t="shared" si="21"/>
        <v>2.7335218364910929E-2</v>
      </c>
      <c r="K225">
        <f t="shared" si="22"/>
        <v>2.3557789123411017</v>
      </c>
      <c r="L225">
        <f t="shared" si="23"/>
        <v>0</v>
      </c>
    </row>
    <row r="226" spans="1:12" x14ac:dyDescent="0.25">
      <c r="A226" s="1">
        <v>43577</v>
      </c>
      <c r="B226">
        <v>169</v>
      </c>
      <c r="C226">
        <v>2.2278867046136734</v>
      </c>
      <c r="D226">
        <v>0</v>
      </c>
      <c r="E226">
        <v>225</v>
      </c>
      <c r="F226">
        <f t="shared" si="18"/>
        <v>0.88545602565321058</v>
      </c>
      <c r="G226">
        <f t="shared" si="19"/>
        <v>-0.46472317204376723</v>
      </c>
      <c r="H226">
        <f t="shared" si="20"/>
        <v>2.2540325394791489</v>
      </c>
      <c r="I226">
        <f>C226-H226</f>
        <v>-2.6145834865475504E-2</v>
      </c>
      <c r="J226">
        <f t="shared" si="21"/>
        <v>-2.6145834865475504E-2</v>
      </c>
      <c r="K226">
        <f t="shared" si="22"/>
        <v>2.3515893611773877</v>
      </c>
      <c r="L226">
        <f t="shared" si="23"/>
        <v>0</v>
      </c>
    </row>
    <row r="227" spans="1:12" x14ac:dyDescent="0.25">
      <c r="A227" s="1">
        <v>43584</v>
      </c>
      <c r="B227">
        <v>146</v>
      </c>
      <c r="C227">
        <v>2.1643528557844371</v>
      </c>
      <c r="D227">
        <v>0</v>
      </c>
      <c r="E227">
        <v>226</v>
      </c>
      <c r="F227">
        <f t="shared" si="18"/>
        <v>0.82298386589365657</v>
      </c>
      <c r="G227">
        <f t="shared" si="19"/>
        <v>-0.56806474673115559</v>
      </c>
      <c r="H227">
        <f t="shared" si="20"/>
        <v>2.2495130640290113</v>
      </c>
      <c r="I227">
        <f>C227-H227</f>
        <v>-8.5160208244574154E-2</v>
      </c>
      <c r="J227">
        <f t="shared" si="21"/>
        <v>-8.5160208244574154E-2</v>
      </c>
      <c r="K227">
        <f t="shared" si="22"/>
        <v>2.3470698857272501</v>
      </c>
      <c r="L227">
        <f t="shared" si="23"/>
        <v>0</v>
      </c>
    </row>
    <row r="228" spans="1:12" x14ac:dyDescent="0.25">
      <c r="A228" s="1">
        <v>43591</v>
      </c>
      <c r="B228">
        <v>165</v>
      </c>
      <c r="C228">
        <v>2.2174839442139063</v>
      </c>
      <c r="D228">
        <v>0</v>
      </c>
      <c r="E228">
        <v>227</v>
      </c>
      <c r="F228">
        <f t="shared" si="18"/>
        <v>0.74851074817110286</v>
      </c>
      <c r="G228">
        <f t="shared" si="19"/>
        <v>-0.66312265824079331</v>
      </c>
      <c r="H228">
        <f t="shared" si="20"/>
        <v>2.2447295684214863</v>
      </c>
      <c r="I228">
        <f>C228-H228</f>
        <v>-2.7245624207580033E-2</v>
      </c>
      <c r="J228">
        <f t="shared" si="21"/>
        <v>-2.7245624207580033E-2</v>
      </c>
      <c r="K228">
        <f t="shared" si="22"/>
        <v>2.3422863901197251</v>
      </c>
      <c r="L228">
        <f t="shared" si="23"/>
        <v>0</v>
      </c>
    </row>
    <row r="229" spans="1:12" x14ac:dyDescent="0.25">
      <c r="A229" s="1">
        <v>43598</v>
      </c>
      <c r="B229">
        <v>171</v>
      </c>
      <c r="C229">
        <v>2.2329961103921536</v>
      </c>
      <c r="D229">
        <v>0</v>
      </c>
      <c r="E229">
        <v>228</v>
      </c>
      <c r="F229">
        <f t="shared" si="18"/>
        <v>0.66312265824079619</v>
      </c>
      <c r="G229">
        <f t="shared" si="19"/>
        <v>-0.74851074817110019</v>
      </c>
      <c r="H229">
        <f t="shared" si="20"/>
        <v>2.2397518067940245</v>
      </c>
      <c r="I229">
        <f>C229-H229</f>
        <v>-6.7556964018709031E-3</v>
      </c>
      <c r="J229">
        <f t="shared" si="21"/>
        <v>-6.7556964018709031E-3</v>
      </c>
      <c r="K229">
        <f t="shared" si="22"/>
        <v>2.3373086284922633</v>
      </c>
      <c r="L229">
        <f t="shared" si="23"/>
        <v>0</v>
      </c>
    </row>
    <row r="230" spans="1:12" x14ac:dyDescent="0.25">
      <c r="A230" s="1">
        <v>43605</v>
      </c>
      <c r="B230">
        <v>158</v>
      </c>
      <c r="C230">
        <v>2.1986570869544226</v>
      </c>
      <c r="D230">
        <v>0</v>
      </c>
      <c r="E230">
        <v>229</v>
      </c>
      <c r="F230">
        <f t="shared" si="18"/>
        <v>0.56806474673115881</v>
      </c>
      <c r="G230">
        <f t="shared" si="19"/>
        <v>-0.82298386589365435</v>
      </c>
      <c r="H230">
        <f t="shared" si="20"/>
        <v>2.2346523661200974</v>
      </c>
      <c r="I230">
        <f>C230-H230</f>
        <v>-3.5995279165674798E-2</v>
      </c>
      <c r="J230">
        <f t="shared" si="21"/>
        <v>-3.5995279165674798E-2</v>
      </c>
      <c r="K230">
        <f t="shared" si="22"/>
        <v>2.3322091878183362</v>
      </c>
      <c r="L230">
        <f t="shared" si="23"/>
        <v>0</v>
      </c>
    </row>
    <row r="231" spans="1:12" x14ac:dyDescent="0.25">
      <c r="A231" s="1">
        <v>43612</v>
      </c>
      <c r="B231">
        <v>171</v>
      </c>
      <c r="C231">
        <v>2.2329961103921536</v>
      </c>
      <c r="D231">
        <v>0</v>
      </c>
      <c r="E231">
        <v>230</v>
      </c>
      <c r="F231">
        <f t="shared" si="18"/>
        <v>0.46472317204376756</v>
      </c>
      <c r="G231">
        <f t="shared" si="19"/>
        <v>-0.88545602565321035</v>
      </c>
      <c r="H231">
        <f t="shared" si="20"/>
        <v>2.2295056077276718</v>
      </c>
      <c r="I231">
        <f>C231-H231</f>
        <v>3.4905026644818093E-3</v>
      </c>
      <c r="J231">
        <f t="shared" si="21"/>
        <v>3.4905026644818093E-3</v>
      </c>
      <c r="K231">
        <f t="shared" si="22"/>
        <v>2.3270624294259106</v>
      </c>
      <c r="L231">
        <f t="shared" si="23"/>
        <v>0</v>
      </c>
    </row>
    <row r="232" spans="1:12" x14ac:dyDescent="0.25">
      <c r="A232" s="1">
        <v>43619</v>
      </c>
      <c r="B232">
        <v>169</v>
      </c>
      <c r="C232">
        <v>2.2278867046136734</v>
      </c>
      <c r="D232">
        <v>0</v>
      </c>
      <c r="E232">
        <v>231</v>
      </c>
      <c r="F232">
        <f t="shared" si="18"/>
        <v>0.35460488704253679</v>
      </c>
      <c r="G232">
        <f t="shared" si="19"/>
        <v>-0.93501624268541439</v>
      </c>
      <c r="H232">
        <f t="shared" si="20"/>
        <v>2.2243865829436</v>
      </c>
      <c r="I232">
        <f>C232-H232</f>
        <v>3.5001216700734084E-3</v>
      </c>
      <c r="J232">
        <f t="shared" si="21"/>
        <v>3.5001216700734084E-3</v>
      </c>
      <c r="K232">
        <f t="shared" si="22"/>
        <v>2.3219434046418388</v>
      </c>
      <c r="L232">
        <f t="shared" si="23"/>
        <v>0</v>
      </c>
    </row>
    <row r="233" spans="1:12" x14ac:dyDescent="0.25">
      <c r="A233" s="1">
        <v>43626</v>
      </c>
      <c r="B233">
        <v>154</v>
      </c>
      <c r="C233">
        <v>2.1875207208364631</v>
      </c>
      <c r="D233">
        <v>0</v>
      </c>
      <c r="E233">
        <v>232</v>
      </c>
      <c r="F233">
        <f t="shared" si="18"/>
        <v>0.23931566428755777</v>
      </c>
      <c r="G233">
        <f t="shared" si="19"/>
        <v>-0.97094181742605201</v>
      </c>
      <c r="H233">
        <f t="shared" si="20"/>
        <v>2.2193699386762726</v>
      </c>
      <c r="I233">
        <f>C233-H233</f>
        <v>-3.184921783980954E-2</v>
      </c>
      <c r="J233">
        <f t="shared" si="21"/>
        <v>-3.184921783980954E-2</v>
      </c>
      <c r="K233">
        <f t="shared" si="22"/>
        <v>2.3169267603745114</v>
      </c>
      <c r="L233">
        <f t="shared" si="23"/>
        <v>0</v>
      </c>
    </row>
    <row r="234" spans="1:12" x14ac:dyDescent="0.25">
      <c r="A234" s="1">
        <v>43633</v>
      </c>
      <c r="B234">
        <v>153</v>
      </c>
      <c r="C234">
        <v>2.1846914308175989</v>
      </c>
      <c r="D234">
        <v>0</v>
      </c>
      <c r="E234">
        <v>233</v>
      </c>
      <c r="F234">
        <f t="shared" si="18"/>
        <v>0.12053668025532184</v>
      </c>
      <c r="G234">
        <f t="shared" si="19"/>
        <v>-0.99270887409805419</v>
      </c>
      <c r="H234">
        <f t="shared" si="20"/>
        <v>2.2145288288956073</v>
      </c>
      <c r="I234">
        <f>C234-H234</f>
        <v>-2.9837398078008448E-2</v>
      </c>
      <c r="J234">
        <f t="shared" si="21"/>
        <v>-2.9837398078008448E-2</v>
      </c>
      <c r="K234">
        <f t="shared" si="22"/>
        <v>2.3120856505938461</v>
      </c>
      <c r="L234">
        <f t="shared" si="23"/>
        <v>0</v>
      </c>
    </row>
    <row r="235" spans="1:12" x14ac:dyDescent="0.25">
      <c r="A235" s="1">
        <v>43640</v>
      </c>
      <c r="B235">
        <v>184</v>
      </c>
      <c r="C235">
        <v>2.2648178230095364</v>
      </c>
      <c r="D235">
        <v>0</v>
      </c>
      <c r="E235">
        <v>234</v>
      </c>
      <c r="F235">
        <f t="shared" si="18"/>
        <v>1.102633609417758E-15</v>
      </c>
      <c r="G235">
        <f t="shared" si="19"/>
        <v>-1</v>
      </c>
      <c r="H235">
        <f t="shared" si="20"/>
        <v>2.2099338478834358</v>
      </c>
      <c r="I235">
        <f>C235-H235</f>
        <v>5.4883975126100548E-2</v>
      </c>
      <c r="J235">
        <f t="shared" si="21"/>
        <v>5.4883975126100548E-2</v>
      </c>
      <c r="K235">
        <f t="shared" si="22"/>
        <v>2.3074906695816746</v>
      </c>
      <c r="L235">
        <f t="shared" si="23"/>
        <v>0</v>
      </c>
    </row>
    <row r="236" spans="1:12" x14ac:dyDescent="0.25">
      <c r="A236" s="1">
        <v>43647</v>
      </c>
      <c r="B236">
        <v>163</v>
      </c>
      <c r="C236">
        <v>2.2121876044039577</v>
      </c>
      <c r="D236">
        <v>0</v>
      </c>
      <c r="E236">
        <v>235</v>
      </c>
      <c r="F236">
        <f t="shared" si="18"/>
        <v>-0.12053668025532317</v>
      </c>
      <c r="G236">
        <f t="shared" si="19"/>
        <v>-0.99270887409805397</v>
      </c>
      <c r="H236">
        <f t="shared" si="20"/>
        <v>2.2056520008099114</v>
      </c>
      <c r="I236">
        <f>C236-H236</f>
        <v>6.5356035940462576E-3</v>
      </c>
      <c r="J236">
        <f t="shared" si="21"/>
        <v>6.5356035940462576E-3</v>
      </c>
      <c r="K236">
        <f t="shared" si="22"/>
        <v>2.3032088225081502</v>
      </c>
      <c r="L236">
        <f t="shared" si="23"/>
        <v>0</v>
      </c>
    </row>
    <row r="237" spans="1:12" x14ac:dyDescent="0.25">
      <c r="A237" s="1">
        <v>43654</v>
      </c>
      <c r="B237">
        <v>147</v>
      </c>
      <c r="C237">
        <v>2.167317334748176</v>
      </c>
      <c r="D237">
        <v>0</v>
      </c>
      <c r="E237">
        <v>236</v>
      </c>
      <c r="F237">
        <f t="shared" si="18"/>
        <v>-0.23931566428755563</v>
      </c>
      <c r="G237">
        <f t="shared" si="19"/>
        <v>-0.97094181742605257</v>
      </c>
      <c r="H237">
        <f t="shared" si="20"/>
        <v>2.2017457266472467</v>
      </c>
      <c r="I237">
        <f>C237-H237</f>
        <v>-3.4428391899070654E-2</v>
      </c>
      <c r="J237">
        <f t="shared" si="21"/>
        <v>-3.4428391899070654E-2</v>
      </c>
      <c r="K237">
        <f t="shared" si="22"/>
        <v>2.2993025483454854</v>
      </c>
      <c r="L237">
        <f t="shared" si="23"/>
        <v>0</v>
      </c>
    </row>
    <row r="238" spans="1:12" x14ac:dyDescent="0.25">
      <c r="A238" s="1">
        <v>43661</v>
      </c>
      <c r="B238">
        <v>152</v>
      </c>
      <c r="C238">
        <v>2.1818435879447726</v>
      </c>
      <c r="D238">
        <v>0</v>
      </c>
      <c r="E238">
        <v>237</v>
      </c>
      <c r="F238">
        <f t="shared" si="18"/>
        <v>-0.35460488704253473</v>
      </c>
      <c r="G238">
        <f t="shared" si="19"/>
        <v>-0.93501624268541517</v>
      </c>
      <c r="H238">
        <f t="shared" si="20"/>
        <v>2.1982719876688965</v>
      </c>
      <c r="I238">
        <f>C238-H238</f>
        <v>-1.642839972412391E-2</v>
      </c>
      <c r="J238">
        <f t="shared" si="21"/>
        <v>-1.642839972412391E-2</v>
      </c>
      <c r="K238">
        <f t="shared" si="22"/>
        <v>2.2958288093671353</v>
      </c>
      <c r="L238">
        <f t="shared" si="23"/>
        <v>0</v>
      </c>
    </row>
    <row r="239" spans="1:12" x14ac:dyDescent="0.25">
      <c r="A239" s="1">
        <v>43668</v>
      </c>
      <c r="B239">
        <v>221</v>
      </c>
      <c r="C239">
        <v>2.3443922736851106</v>
      </c>
      <c r="D239">
        <v>0</v>
      </c>
      <c r="E239">
        <v>238</v>
      </c>
      <c r="F239">
        <f t="shared" si="18"/>
        <v>-0.46472317204376562</v>
      </c>
      <c r="G239">
        <f t="shared" si="19"/>
        <v>-0.88545602565321146</v>
      </c>
      <c r="H239">
        <f t="shared" si="20"/>
        <v>2.1952814388113433</v>
      </c>
      <c r="I239">
        <f>C239-H239</f>
        <v>0.14911083487376731</v>
      </c>
      <c r="J239">
        <f t="shared" si="21"/>
        <v>0.14911083487376731</v>
      </c>
      <c r="K239">
        <f t="shared" si="22"/>
        <v>2.2928382605095821</v>
      </c>
      <c r="L239">
        <f t="shared" si="23"/>
        <v>24.737077957819849</v>
      </c>
    </row>
    <row r="240" spans="1:12" x14ac:dyDescent="0.25">
      <c r="A240" s="1">
        <v>43675</v>
      </c>
      <c r="B240">
        <v>163</v>
      </c>
      <c r="C240">
        <v>2.2121876044039577</v>
      </c>
      <c r="D240">
        <v>0</v>
      </c>
      <c r="E240">
        <v>239</v>
      </c>
      <c r="F240">
        <f t="shared" si="18"/>
        <v>-0.56806474673115404</v>
      </c>
      <c r="G240">
        <f t="shared" si="19"/>
        <v>-0.82298386589365757</v>
      </c>
      <c r="H240">
        <f t="shared" si="20"/>
        <v>2.1928176890110604</v>
      </c>
      <c r="I240">
        <f>C240-H240</f>
        <v>1.936991539289723E-2</v>
      </c>
      <c r="J240">
        <f t="shared" si="21"/>
        <v>1.936991539289723E-2</v>
      </c>
      <c r="K240">
        <f t="shared" si="22"/>
        <v>2.2903745107092992</v>
      </c>
      <c r="L240">
        <f t="shared" si="23"/>
        <v>0</v>
      </c>
    </row>
    <row r="241" spans="1:12" x14ac:dyDescent="0.25">
      <c r="A241" s="1">
        <v>43682</v>
      </c>
      <c r="B241">
        <v>174</v>
      </c>
      <c r="C241">
        <v>2.2405492482825999</v>
      </c>
      <c r="D241">
        <v>0</v>
      </c>
      <c r="E241">
        <v>240</v>
      </c>
      <c r="F241">
        <f t="shared" si="18"/>
        <v>-0.66312265824079186</v>
      </c>
      <c r="G241">
        <f t="shared" si="19"/>
        <v>-0.74851074817110397</v>
      </c>
      <c r="H241">
        <f t="shared" si="20"/>
        <v>2.1909166652880172</v>
      </c>
      <c r="I241">
        <f>C241-H241</f>
        <v>4.963258299458273E-2</v>
      </c>
      <c r="J241">
        <f t="shared" si="21"/>
        <v>4.963258299458273E-2</v>
      </c>
      <c r="K241">
        <f t="shared" si="22"/>
        <v>2.288473486986256</v>
      </c>
      <c r="L241">
        <f t="shared" si="23"/>
        <v>0</v>
      </c>
    </row>
    <row r="242" spans="1:12" x14ac:dyDescent="0.25">
      <c r="A242" s="1">
        <v>43689</v>
      </c>
      <c r="B242">
        <v>139</v>
      </c>
      <c r="C242">
        <v>2.143014800254095</v>
      </c>
      <c r="D242">
        <v>0</v>
      </c>
      <c r="E242">
        <v>241</v>
      </c>
      <c r="F242">
        <f t="shared" si="18"/>
        <v>-0.7485107481711013</v>
      </c>
      <c r="G242">
        <f t="shared" si="19"/>
        <v>-0.66312265824079497</v>
      </c>
      <c r="H242">
        <f t="shared" si="20"/>
        <v>2.1896060888488282</v>
      </c>
      <c r="I242">
        <f>C242-H242</f>
        <v>-4.6591288594733271E-2</v>
      </c>
      <c r="J242">
        <f t="shared" si="21"/>
        <v>-4.6591288594733271E-2</v>
      </c>
      <c r="K242">
        <f t="shared" si="22"/>
        <v>2.287162910547067</v>
      </c>
      <c r="L242">
        <f t="shared" si="23"/>
        <v>0</v>
      </c>
    </row>
    <row r="243" spans="1:12" x14ac:dyDescent="0.25">
      <c r="A243" s="1">
        <v>43696</v>
      </c>
      <c r="B243">
        <v>159</v>
      </c>
      <c r="C243">
        <v>2.2013971243204513</v>
      </c>
      <c r="D243">
        <v>0</v>
      </c>
      <c r="E243">
        <v>242</v>
      </c>
      <c r="F243">
        <f t="shared" si="18"/>
        <v>-0.82298386589365735</v>
      </c>
      <c r="G243">
        <f t="shared" si="19"/>
        <v>-0.56806474673115448</v>
      </c>
      <c r="H243">
        <f t="shared" si="20"/>
        <v>2.1889050708491382</v>
      </c>
      <c r="I243">
        <f>C243-H243</f>
        <v>1.2492053471313103E-2</v>
      </c>
      <c r="J243">
        <f t="shared" si="21"/>
        <v>1.2492053471313103E-2</v>
      </c>
      <c r="K243">
        <f t="shared" si="22"/>
        <v>2.286461892547377</v>
      </c>
      <c r="L243">
        <f t="shared" si="23"/>
        <v>0</v>
      </c>
    </row>
    <row r="244" spans="1:12" x14ac:dyDescent="0.25">
      <c r="A244" s="1">
        <v>43703</v>
      </c>
      <c r="B244">
        <v>165</v>
      </c>
      <c r="C244">
        <v>2.2174839442139063</v>
      </c>
      <c r="D244">
        <v>0</v>
      </c>
      <c r="E244">
        <v>243</v>
      </c>
      <c r="F244">
        <f t="shared" si="18"/>
        <v>-0.88545602565320958</v>
      </c>
      <c r="G244">
        <f t="shared" si="19"/>
        <v>-0.46472317204376917</v>
      </c>
      <c r="H244">
        <f t="shared" si="20"/>
        <v>2.1888238337099377</v>
      </c>
      <c r="I244">
        <f>C244-H244</f>
        <v>2.866011050396855E-2</v>
      </c>
      <c r="J244">
        <f t="shared" si="21"/>
        <v>2.866011050396855E-2</v>
      </c>
      <c r="K244">
        <f t="shared" si="22"/>
        <v>2.2863806554081765</v>
      </c>
      <c r="L244">
        <f t="shared" si="23"/>
        <v>0</v>
      </c>
    </row>
    <row r="245" spans="1:12" x14ac:dyDescent="0.25">
      <c r="A245" s="1">
        <v>43710</v>
      </c>
      <c r="B245">
        <v>170</v>
      </c>
      <c r="C245">
        <v>2.2304489213782741</v>
      </c>
      <c r="D245">
        <v>0</v>
      </c>
      <c r="E245">
        <v>244</v>
      </c>
      <c r="F245">
        <f t="shared" si="18"/>
        <v>-0.93501624268541494</v>
      </c>
      <c r="G245">
        <f t="shared" si="19"/>
        <v>-0.35460488704253518</v>
      </c>
      <c r="H245">
        <f t="shared" si="20"/>
        <v>2.1893635620516463</v>
      </c>
      <c r="I245">
        <f>C245-H245</f>
        <v>4.1085359326627824E-2</v>
      </c>
      <c r="J245">
        <f t="shared" si="21"/>
        <v>4.1085359326627824E-2</v>
      </c>
      <c r="K245">
        <f t="shared" si="22"/>
        <v>2.286920383749885</v>
      </c>
      <c r="L245">
        <f t="shared" si="23"/>
        <v>0</v>
      </c>
    </row>
    <row r="246" spans="1:12" x14ac:dyDescent="0.25">
      <c r="A246" s="1">
        <v>43717</v>
      </c>
      <c r="B246">
        <v>166</v>
      </c>
      <c r="C246">
        <v>2.220108088040055</v>
      </c>
      <c r="D246">
        <v>0</v>
      </c>
      <c r="E246">
        <v>245</v>
      </c>
      <c r="F246">
        <f t="shared" si="18"/>
        <v>-0.97094181742605157</v>
      </c>
      <c r="G246">
        <f t="shared" si="19"/>
        <v>-0.23931566428755954</v>
      </c>
      <c r="H246">
        <f t="shared" si="20"/>
        <v>2.190516385419679</v>
      </c>
      <c r="I246">
        <f>C246-H246</f>
        <v>2.9591702620376026E-2</v>
      </c>
      <c r="J246">
        <f t="shared" si="21"/>
        <v>2.9591702620376026E-2</v>
      </c>
      <c r="K246">
        <f t="shared" si="22"/>
        <v>2.2880732071179177</v>
      </c>
      <c r="L246">
        <f t="shared" si="23"/>
        <v>0</v>
      </c>
    </row>
    <row r="247" spans="1:12" x14ac:dyDescent="0.25">
      <c r="A247" s="1">
        <v>43724</v>
      </c>
      <c r="B247">
        <v>156</v>
      </c>
      <c r="C247">
        <v>2.1931245983544616</v>
      </c>
      <c r="D247">
        <v>0</v>
      </c>
      <c r="E247">
        <v>246</v>
      </c>
      <c r="F247">
        <f t="shared" si="18"/>
        <v>-0.99270887409805397</v>
      </c>
      <c r="G247">
        <f t="shared" si="19"/>
        <v>-0.12053668025532366</v>
      </c>
      <c r="H247">
        <f t="shared" si="20"/>
        <v>2.1922654930533985</v>
      </c>
      <c r="I247">
        <f>C247-H247</f>
        <v>8.5910530106314553E-4</v>
      </c>
      <c r="J247">
        <f t="shared" si="21"/>
        <v>8.5910530106314553E-4</v>
      </c>
      <c r="K247">
        <f t="shared" si="22"/>
        <v>2.2898223147516372</v>
      </c>
      <c r="L247">
        <f t="shared" si="23"/>
        <v>0</v>
      </c>
    </row>
    <row r="248" spans="1:12" x14ac:dyDescent="0.25">
      <c r="A248" s="1">
        <v>43731</v>
      </c>
      <c r="B248">
        <v>148</v>
      </c>
      <c r="C248">
        <v>2.1702617153949575</v>
      </c>
      <c r="D248">
        <v>0</v>
      </c>
      <c r="E248">
        <v>247</v>
      </c>
      <c r="F248">
        <f t="shared" si="18"/>
        <v>-1</v>
      </c>
      <c r="G248">
        <f t="shared" si="19"/>
        <v>-2.9402478715634395E-15</v>
      </c>
      <c r="H248">
        <f t="shared" si="20"/>
        <v>2.1945853790248577</v>
      </c>
      <c r="I248">
        <f>C248-H248</f>
        <v>-2.4323663629900238E-2</v>
      </c>
      <c r="J248">
        <f t="shared" si="21"/>
        <v>-2.4323663629900238E-2</v>
      </c>
      <c r="K248">
        <f t="shared" si="22"/>
        <v>2.2921422007230965</v>
      </c>
      <c r="L248">
        <f t="shared" si="23"/>
        <v>0</v>
      </c>
    </row>
    <row r="249" spans="1:12" x14ac:dyDescent="0.25">
      <c r="A249" s="1">
        <v>43738</v>
      </c>
      <c r="B249">
        <v>186</v>
      </c>
      <c r="C249">
        <v>2.2695129442179165</v>
      </c>
      <c r="D249">
        <v>0</v>
      </c>
      <c r="E249">
        <v>248</v>
      </c>
      <c r="F249">
        <f t="shared" si="18"/>
        <v>-0.99270887409805419</v>
      </c>
      <c r="G249">
        <f t="shared" si="19"/>
        <v>0.12053668025532135</v>
      </c>
      <c r="H249">
        <f t="shared" si="20"/>
        <v>2.1974422141726637</v>
      </c>
      <c r="I249">
        <f>C249-H249</f>
        <v>7.2070730045252773E-2</v>
      </c>
      <c r="J249">
        <f t="shared" si="21"/>
        <v>7.2070730045252773E-2</v>
      </c>
      <c r="K249">
        <f t="shared" si="22"/>
        <v>2.2949990358709025</v>
      </c>
      <c r="L249">
        <f t="shared" si="23"/>
        <v>0</v>
      </c>
    </row>
    <row r="250" spans="1:12" x14ac:dyDescent="0.25">
      <c r="A250" s="1">
        <v>43745</v>
      </c>
      <c r="B250">
        <v>141</v>
      </c>
      <c r="C250">
        <v>2.1492191126553797</v>
      </c>
      <c r="D250">
        <v>0</v>
      </c>
      <c r="E250">
        <v>249</v>
      </c>
      <c r="F250">
        <f t="shared" si="18"/>
        <v>-0.97094181742605301</v>
      </c>
      <c r="G250">
        <f t="shared" si="19"/>
        <v>0.23931566428755385</v>
      </c>
      <c r="H250">
        <f t="shared" si="20"/>
        <v>2.2007943394073295</v>
      </c>
      <c r="I250">
        <f>C250-H250</f>
        <v>-5.157522675194981E-2</v>
      </c>
      <c r="J250">
        <f t="shared" si="21"/>
        <v>-5.157522675194981E-2</v>
      </c>
      <c r="K250">
        <f t="shared" si="22"/>
        <v>2.2983511611055683</v>
      </c>
      <c r="L250">
        <f t="shared" si="23"/>
        <v>0</v>
      </c>
    </row>
    <row r="251" spans="1:12" x14ac:dyDescent="0.25">
      <c r="A251" s="1">
        <v>43752</v>
      </c>
      <c r="B251">
        <v>152</v>
      </c>
      <c r="C251">
        <v>2.1818435879447726</v>
      </c>
      <c r="D251">
        <v>0</v>
      </c>
      <c r="E251">
        <v>250</v>
      </c>
      <c r="F251">
        <f t="shared" si="18"/>
        <v>-0.93501624268541583</v>
      </c>
      <c r="G251">
        <f t="shared" si="19"/>
        <v>0.35460488704253301</v>
      </c>
      <c r="H251">
        <f t="shared" si="20"/>
        <v>2.2045928731946054</v>
      </c>
      <c r="I251">
        <f>C251-H251</f>
        <v>-2.2749285249832774E-2</v>
      </c>
      <c r="J251">
        <f t="shared" si="21"/>
        <v>-2.2749285249832774E-2</v>
      </c>
      <c r="K251">
        <f t="shared" si="22"/>
        <v>2.3021496948928442</v>
      </c>
      <c r="L251">
        <f t="shared" si="23"/>
        <v>0</v>
      </c>
    </row>
    <row r="252" spans="1:12" x14ac:dyDescent="0.25">
      <c r="A252" s="1">
        <v>43759</v>
      </c>
      <c r="B252">
        <v>182</v>
      </c>
      <c r="C252">
        <v>2.2600713879850747</v>
      </c>
      <c r="D252">
        <v>0</v>
      </c>
      <c r="E252">
        <v>251</v>
      </c>
      <c r="F252">
        <f t="shared" si="18"/>
        <v>-0.88545602565320902</v>
      </c>
      <c r="G252">
        <f t="shared" si="19"/>
        <v>0.46472317204377028</v>
      </c>
      <c r="H252">
        <f t="shared" si="20"/>
        <v>2.2087824243583194</v>
      </c>
      <c r="I252">
        <f>C252-H252</f>
        <v>5.128896362675528E-2</v>
      </c>
      <c r="J252">
        <f t="shared" si="21"/>
        <v>5.128896362675528E-2</v>
      </c>
      <c r="K252">
        <f t="shared" si="22"/>
        <v>2.3063392460565582</v>
      </c>
      <c r="L252">
        <f t="shared" si="23"/>
        <v>0</v>
      </c>
    </row>
    <row r="253" spans="1:12" x14ac:dyDescent="0.25">
      <c r="A253" s="1">
        <v>43766</v>
      </c>
      <c r="B253">
        <v>167</v>
      </c>
      <c r="C253">
        <v>2.2227164711475833</v>
      </c>
      <c r="D253">
        <v>0</v>
      </c>
      <c r="E253">
        <v>252</v>
      </c>
      <c r="F253">
        <f t="shared" si="18"/>
        <v>-0.82298386589365657</v>
      </c>
      <c r="G253">
        <f t="shared" si="19"/>
        <v>0.56806474673115548</v>
      </c>
      <c r="H253">
        <f t="shared" si="20"/>
        <v>2.213301899808457</v>
      </c>
      <c r="I253">
        <f>C253-H253</f>
        <v>9.4145713391262653E-3</v>
      </c>
      <c r="J253">
        <f t="shared" si="21"/>
        <v>9.4145713391262653E-3</v>
      </c>
      <c r="K253">
        <f t="shared" si="22"/>
        <v>2.3108587215066958</v>
      </c>
      <c r="L253">
        <f t="shared" si="23"/>
        <v>0</v>
      </c>
    </row>
    <row r="254" spans="1:12" x14ac:dyDescent="0.25">
      <c r="A254" s="1">
        <v>43773</v>
      </c>
      <c r="B254">
        <v>164</v>
      </c>
      <c r="C254">
        <v>2.214843848047698</v>
      </c>
      <c r="D254">
        <v>0</v>
      </c>
      <c r="E254">
        <v>253</v>
      </c>
      <c r="F254">
        <f t="shared" si="18"/>
        <v>-0.74851074817110053</v>
      </c>
      <c r="G254">
        <f t="shared" si="19"/>
        <v>0.66312265824079586</v>
      </c>
      <c r="H254">
        <f t="shared" si="20"/>
        <v>2.2180853954159825</v>
      </c>
      <c r="I254">
        <f>C254-H254</f>
        <v>-3.2415473682845253E-3</v>
      </c>
      <c r="J254">
        <f t="shared" si="21"/>
        <v>-3.2415473682845253E-3</v>
      </c>
      <c r="K254">
        <f t="shared" si="22"/>
        <v>2.3156422171142212</v>
      </c>
      <c r="L254">
        <f t="shared" si="23"/>
        <v>0</v>
      </c>
    </row>
    <row r="255" spans="1:12" x14ac:dyDescent="0.25">
      <c r="A255" s="1">
        <v>43780</v>
      </c>
      <c r="B255">
        <v>150</v>
      </c>
      <c r="C255">
        <v>2.1760912590556813</v>
      </c>
      <c r="D255">
        <v>0</v>
      </c>
      <c r="E255">
        <v>254</v>
      </c>
      <c r="F255">
        <f t="shared" si="18"/>
        <v>-0.6631226582407963</v>
      </c>
      <c r="G255">
        <f t="shared" si="19"/>
        <v>0.74851074817110008</v>
      </c>
      <c r="H255">
        <f t="shared" si="20"/>
        <v>2.2230631570434438</v>
      </c>
      <c r="I255">
        <f>C255-H255</f>
        <v>-4.6971897987762468E-2</v>
      </c>
      <c r="J255">
        <f t="shared" si="21"/>
        <v>-4.6971897987762468E-2</v>
      </c>
      <c r="K255">
        <f t="shared" si="22"/>
        <v>2.3206199787416826</v>
      </c>
      <c r="L255">
        <f t="shared" si="23"/>
        <v>0</v>
      </c>
    </row>
    <row r="256" spans="1:12" x14ac:dyDescent="0.25">
      <c r="A256" s="1">
        <v>43787</v>
      </c>
      <c r="B256">
        <v>179</v>
      </c>
      <c r="C256">
        <v>2.2528530309798933</v>
      </c>
      <c r="D256">
        <v>0</v>
      </c>
      <c r="E256">
        <v>255</v>
      </c>
      <c r="F256">
        <f t="shared" si="18"/>
        <v>-0.56806474673115603</v>
      </c>
      <c r="G256">
        <f t="shared" si="19"/>
        <v>0.82298386589365624</v>
      </c>
      <c r="H256">
        <f t="shared" si="20"/>
        <v>2.2281625977173709</v>
      </c>
      <c r="I256">
        <f>C256-H256</f>
        <v>2.4690433262522404E-2</v>
      </c>
      <c r="J256">
        <f t="shared" si="21"/>
        <v>2.4690433262522404E-2</v>
      </c>
      <c r="K256">
        <f t="shared" si="22"/>
        <v>2.3257194194156097</v>
      </c>
      <c r="L256">
        <f t="shared" si="23"/>
        <v>0</v>
      </c>
    </row>
    <row r="257" spans="1:12" x14ac:dyDescent="0.25">
      <c r="A257" s="1">
        <v>43794</v>
      </c>
      <c r="B257">
        <v>152</v>
      </c>
      <c r="C257">
        <v>2.1818435879447726</v>
      </c>
      <c r="D257">
        <v>0</v>
      </c>
      <c r="E257">
        <v>256</v>
      </c>
      <c r="F257">
        <f t="shared" si="18"/>
        <v>-0.46472317204377084</v>
      </c>
      <c r="G257">
        <f t="shared" si="19"/>
        <v>0.88545602565320869</v>
      </c>
      <c r="H257">
        <f t="shared" si="20"/>
        <v>2.2333093561097965</v>
      </c>
      <c r="I257">
        <f>C257-H257</f>
        <v>-5.1465768165023906E-2</v>
      </c>
      <c r="J257">
        <f t="shared" si="21"/>
        <v>-5.1465768165023906E-2</v>
      </c>
      <c r="K257">
        <f t="shared" si="22"/>
        <v>2.3308661778080353</v>
      </c>
      <c r="L257">
        <f t="shared" si="23"/>
        <v>0</v>
      </c>
    </row>
    <row r="258" spans="1:12" x14ac:dyDescent="0.25">
      <c r="A258" s="1">
        <v>43801</v>
      </c>
      <c r="B258">
        <v>150</v>
      </c>
      <c r="C258">
        <v>2.1760912590556813</v>
      </c>
      <c r="D258">
        <v>0</v>
      </c>
      <c r="E258">
        <v>257</v>
      </c>
      <c r="F258">
        <f t="shared" si="18"/>
        <v>-0.3546048870425369</v>
      </c>
      <c r="G258">
        <f t="shared" si="19"/>
        <v>0.93501624268541439</v>
      </c>
      <c r="H258">
        <f t="shared" si="20"/>
        <v>2.2384283808938683</v>
      </c>
      <c r="I258">
        <f>C258-H258</f>
        <v>-6.233712183818696E-2</v>
      </c>
      <c r="J258">
        <f t="shared" si="21"/>
        <v>-6.233712183818696E-2</v>
      </c>
      <c r="K258">
        <f t="shared" si="22"/>
        <v>2.3359852025921071</v>
      </c>
      <c r="L258">
        <f t="shared" si="23"/>
        <v>0</v>
      </c>
    </row>
    <row r="259" spans="1:12" x14ac:dyDescent="0.25">
      <c r="A259" s="1">
        <v>43808</v>
      </c>
      <c r="B259">
        <v>176</v>
      </c>
      <c r="C259">
        <v>2.2455126678141499</v>
      </c>
      <c r="D259">
        <v>0</v>
      </c>
      <c r="E259">
        <v>258</v>
      </c>
      <c r="F259">
        <f t="shared" ref="F259:F322" si="24">SIN(2*PI()*E259/52)</f>
        <v>-0.23931566428756135</v>
      </c>
      <c r="G259">
        <f t="shared" ref="G259:G322" si="25">COS(2*PI()*E259/52)</f>
        <v>0.97094181742605112</v>
      </c>
      <c r="H259">
        <f t="shared" ref="H259:H322" si="26">$P$2+$N$2*F259+$O$2*G259</f>
        <v>2.2434450251611957</v>
      </c>
      <c r="I259">
        <f>C259-H259</f>
        <v>2.0676426529542269E-3</v>
      </c>
      <c r="J259">
        <f t="shared" ref="J259:J322" si="27">IF(D259,"",I259)</f>
        <v>2.0676426529542269E-3</v>
      </c>
      <c r="K259">
        <f t="shared" ref="K259:K322" si="28">H259+$S$2</f>
        <v>2.3410018468594345</v>
      </c>
      <c r="L259">
        <f t="shared" ref="L259:L322" si="29">IF(C259-K259&gt;0,10^C259-10^K259,0)</f>
        <v>0</v>
      </c>
    </row>
    <row r="260" spans="1:12" x14ac:dyDescent="0.25">
      <c r="A260" s="1">
        <v>43815</v>
      </c>
      <c r="B260">
        <v>189</v>
      </c>
      <c r="C260">
        <v>2.2764618041732443</v>
      </c>
      <c r="D260">
        <v>0</v>
      </c>
      <c r="E260">
        <v>259</v>
      </c>
      <c r="F260">
        <f t="shared" si="24"/>
        <v>-0.12053668025532549</v>
      </c>
      <c r="G260">
        <f t="shared" si="25"/>
        <v>0.99270887409805375</v>
      </c>
      <c r="H260">
        <f t="shared" si="26"/>
        <v>2.248286134941861</v>
      </c>
      <c r="I260">
        <f>C260-H260</f>
        <v>2.817566923138326E-2</v>
      </c>
      <c r="J260">
        <f t="shared" si="27"/>
        <v>2.817566923138326E-2</v>
      </c>
      <c r="K260">
        <f t="shared" si="28"/>
        <v>2.3458429566400998</v>
      </c>
      <c r="L260">
        <f t="shared" si="29"/>
        <v>0</v>
      </c>
    </row>
    <row r="261" spans="1:12" x14ac:dyDescent="0.25">
      <c r="A261" s="1">
        <v>43822</v>
      </c>
      <c r="B261">
        <v>166</v>
      </c>
      <c r="C261">
        <v>2.220108088040055</v>
      </c>
      <c r="D261">
        <v>0</v>
      </c>
      <c r="E261">
        <v>260</v>
      </c>
      <c r="F261">
        <f t="shared" si="24"/>
        <v>-1.22514845490862E-15</v>
      </c>
      <c r="G261">
        <f t="shared" si="25"/>
        <v>1</v>
      </c>
      <c r="H261">
        <f t="shared" si="26"/>
        <v>2.2528811159540325</v>
      </c>
      <c r="I261">
        <f>C261-H261</f>
        <v>-3.2773027913977515E-2</v>
      </c>
      <c r="J261">
        <f t="shared" si="27"/>
        <v>-3.2773027913977515E-2</v>
      </c>
      <c r="K261">
        <f t="shared" si="28"/>
        <v>2.3504379376522713</v>
      </c>
      <c r="L261">
        <f t="shared" si="29"/>
        <v>0</v>
      </c>
    </row>
    <row r="262" spans="1:12" x14ac:dyDescent="0.25">
      <c r="A262" s="1">
        <v>43829</v>
      </c>
      <c r="B262">
        <v>180</v>
      </c>
      <c r="C262">
        <v>2.255272505103306</v>
      </c>
      <c r="D262">
        <v>0</v>
      </c>
      <c r="E262">
        <v>261</v>
      </c>
      <c r="F262">
        <f t="shared" si="24"/>
        <v>0.12053668025531952</v>
      </c>
      <c r="G262">
        <f t="shared" si="25"/>
        <v>0.99270887409805442</v>
      </c>
      <c r="H262">
        <f t="shared" si="26"/>
        <v>2.2571629630275565</v>
      </c>
      <c r="I262">
        <f>C262-H262</f>
        <v>-1.890457924250466E-3</v>
      </c>
      <c r="J262">
        <f t="shared" si="27"/>
        <v>-1.890457924250466E-3</v>
      </c>
      <c r="K262">
        <f t="shared" si="28"/>
        <v>2.3547197847257952</v>
      </c>
      <c r="L262">
        <f t="shared" si="29"/>
        <v>0</v>
      </c>
    </row>
    <row r="263" spans="1:12" x14ac:dyDescent="0.25">
      <c r="A263" s="1">
        <v>43836</v>
      </c>
      <c r="B263">
        <v>185</v>
      </c>
      <c r="C263">
        <v>2.2671717284030137</v>
      </c>
      <c r="D263">
        <v>0</v>
      </c>
      <c r="E263">
        <v>262</v>
      </c>
      <c r="F263">
        <f t="shared" si="24"/>
        <v>0.23931566428755896</v>
      </c>
      <c r="G263">
        <f t="shared" si="25"/>
        <v>0.97094181742605168</v>
      </c>
      <c r="H263">
        <f t="shared" si="26"/>
        <v>2.2610692371902217</v>
      </c>
      <c r="I263">
        <f>C263-H263</f>
        <v>6.1024912127920494E-3</v>
      </c>
      <c r="J263">
        <f t="shared" si="27"/>
        <v>6.1024912127920494E-3</v>
      </c>
      <c r="K263">
        <f t="shared" si="28"/>
        <v>2.3586260588884604</v>
      </c>
      <c r="L263">
        <f t="shared" si="29"/>
        <v>0</v>
      </c>
    </row>
    <row r="264" spans="1:12" x14ac:dyDescent="0.25">
      <c r="A264" s="1">
        <v>43843</v>
      </c>
      <c r="B264">
        <v>168</v>
      </c>
      <c r="C264">
        <v>2.2253092817258628</v>
      </c>
      <c r="D264">
        <v>0</v>
      </c>
      <c r="E264">
        <v>263</v>
      </c>
      <c r="F264">
        <f t="shared" si="24"/>
        <v>0.35460488704253462</v>
      </c>
      <c r="G264">
        <f t="shared" si="25"/>
        <v>0.93501624268541517</v>
      </c>
      <c r="H264">
        <f t="shared" si="26"/>
        <v>2.2645429761685718</v>
      </c>
      <c r="I264">
        <f>C264-H264</f>
        <v>-3.9233694442708966E-2</v>
      </c>
      <c r="J264">
        <f t="shared" si="27"/>
        <v>-3.9233694442708966E-2</v>
      </c>
      <c r="K264">
        <f t="shared" si="28"/>
        <v>2.3620997978668106</v>
      </c>
      <c r="L264">
        <f t="shared" si="29"/>
        <v>0</v>
      </c>
    </row>
    <row r="265" spans="1:12" x14ac:dyDescent="0.25">
      <c r="A265" s="1">
        <v>43850</v>
      </c>
      <c r="B265">
        <v>177</v>
      </c>
      <c r="C265">
        <v>2.2479732663618068</v>
      </c>
      <c r="D265">
        <v>0</v>
      </c>
      <c r="E265">
        <v>264</v>
      </c>
      <c r="F265">
        <f t="shared" si="24"/>
        <v>0.46472317204376867</v>
      </c>
      <c r="G265">
        <f t="shared" si="25"/>
        <v>0.8854560256532098</v>
      </c>
      <c r="H265">
        <f t="shared" si="26"/>
        <v>2.2675335250261255</v>
      </c>
      <c r="I265">
        <f>C265-H265</f>
        <v>-1.9560258664318653E-2</v>
      </c>
      <c r="J265">
        <f t="shared" si="27"/>
        <v>-1.9560258664318653E-2</v>
      </c>
      <c r="K265">
        <f t="shared" si="28"/>
        <v>2.3650903467243642</v>
      </c>
      <c r="L265">
        <f t="shared" si="29"/>
        <v>0</v>
      </c>
    </row>
    <row r="266" spans="1:12" x14ac:dyDescent="0.25">
      <c r="A266" s="1">
        <v>43857</v>
      </c>
      <c r="B266">
        <v>194</v>
      </c>
      <c r="C266">
        <v>2.287801729930226</v>
      </c>
      <c r="D266">
        <v>0</v>
      </c>
      <c r="E266">
        <v>265</v>
      </c>
      <c r="F266">
        <f t="shared" si="24"/>
        <v>0.56806474673115404</v>
      </c>
      <c r="G266">
        <f t="shared" si="25"/>
        <v>0.82298386589365768</v>
      </c>
      <c r="H266">
        <f t="shared" si="26"/>
        <v>2.2699972748264079</v>
      </c>
      <c r="I266">
        <f>C266-H266</f>
        <v>1.7804455103818118E-2</v>
      </c>
      <c r="J266">
        <f t="shared" si="27"/>
        <v>1.7804455103818118E-2</v>
      </c>
      <c r="K266">
        <f t="shared" si="28"/>
        <v>2.3675540965246467</v>
      </c>
      <c r="L266">
        <f t="shared" si="29"/>
        <v>0</v>
      </c>
    </row>
    <row r="267" spans="1:12" x14ac:dyDescent="0.25">
      <c r="A267" s="1">
        <v>43864</v>
      </c>
      <c r="B267">
        <v>188</v>
      </c>
      <c r="C267">
        <v>2.27415784926368</v>
      </c>
      <c r="D267">
        <v>0</v>
      </c>
      <c r="E267">
        <v>266</v>
      </c>
      <c r="F267">
        <f t="shared" si="24"/>
        <v>0.66312265824079442</v>
      </c>
      <c r="G267">
        <f t="shared" si="25"/>
        <v>0.74851074817110175</v>
      </c>
      <c r="H267">
        <f t="shared" si="26"/>
        <v>2.2718982985494516</v>
      </c>
      <c r="I267">
        <f>C267-H267</f>
        <v>2.2595507142284532E-3</v>
      </c>
      <c r="J267">
        <f t="shared" si="27"/>
        <v>2.2595507142284532E-3</v>
      </c>
      <c r="K267">
        <f t="shared" si="28"/>
        <v>2.3694551202476903</v>
      </c>
      <c r="L267">
        <f t="shared" si="29"/>
        <v>0</v>
      </c>
    </row>
    <row r="268" spans="1:12" x14ac:dyDescent="0.25">
      <c r="A268" s="1">
        <v>43871</v>
      </c>
      <c r="B268">
        <v>193</v>
      </c>
      <c r="C268">
        <v>2.2855573090077739</v>
      </c>
      <c r="D268">
        <v>0</v>
      </c>
      <c r="E268">
        <v>267</v>
      </c>
      <c r="F268">
        <f t="shared" si="24"/>
        <v>0.7485107481711013</v>
      </c>
      <c r="G268">
        <f t="shared" si="25"/>
        <v>0.66312265824079497</v>
      </c>
      <c r="H268">
        <f t="shared" si="26"/>
        <v>2.2732088749886401</v>
      </c>
      <c r="I268">
        <f>C268-H268</f>
        <v>1.2348434019133769E-2</v>
      </c>
      <c r="J268">
        <f t="shared" si="27"/>
        <v>1.2348434019133769E-2</v>
      </c>
      <c r="K268">
        <f t="shared" si="28"/>
        <v>2.3707656966868789</v>
      </c>
      <c r="L268">
        <f t="shared" si="29"/>
        <v>0</v>
      </c>
    </row>
    <row r="269" spans="1:12" x14ac:dyDescent="0.25">
      <c r="A269" s="1">
        <v>43878</v>
      </c>
      <c r="B269">
        <v>191</v>
      </c>
      <c r="C269">
        <v>2.2810333672477277</v>
      </c>
      <c r="D269">
        <v>0</v>
      </c>
      <c r="E269">
        <v>268</v>
      </c>
      <c r="F269">
        <f t="shared" si="24"/>
        <v>0.82298386589365724</v>
      </c>
      <c r="G269">
        <f t="shared" si="25"/>
        <v>0.56806474673115459</v>
      </c>
      <c r="H269">
        <f t="shared" si="26"/>
        <v>2.2739098929883301</v>
      </c>
      <c r="I269">
        <f>C269-H269</f>
        <v>7.123474259397522E-3</v>
      </c>
      <c r="J269">
        <f t="shared" si="27"/>
        <v>7.123474259397522E-3</v>
      </c>
      <c r="K269">
        <f t="shared" si="28"/>
        <v>2.3714667146865689</v>
      </c>
      <c r="L269">
        <f t="shared" si="29"/>
        <v>0</v>
      </c>
    </row>
    <row r="270" spans="1:12" x14ac:dyDescent="0.25">
      <c r="A270" s="1">
        <v>43885</v>
      </c>
      <c r="B270">
        <v>190</v>
      </c>
      <c r="C270">
        <v>2.2787536009528289</v>
      </c>
      <c r="D270">
        <v>0</v>
      </c>
      <c r="E270">
        <v>269</v>
      </c>
      <c r="F270">
        <f t="shared" si="24"/>
        <v>0.8854560256532078</v>
      </c>
      <c r="G270">
        <f t="shared" si="25"/>
        <v>0.46472317204377245</v>
      </c>
      <c r="H270">
        <f t="shared" si="26"/>
        <v>2.2739911301275306</v>
      </c>
      <c r="I270">
        <f>C270-H270</f>
        <v>4.7624708252982373E-3</v>
      </c>
      <c r="J270">
        <f t="shared" si="27"/>
        <v>4.7624708252982373E-3</v>
      </c>
      <c r="K270">
        <f t="shared" si="28"/>
        <v>2.3715479518257694</v>
      </c>
      <c r="L270">
        <f t="shared" si="29"/>
        <v>0</v>
      </c>
    </row>
    <row r="271" spans="1:12" x14ac:dyDescent="0.25">
      <c r="A271" s="1">
        <v>43892</v>
      </c>
      <c r="B271">
        <v>190</v>
      </c>
      <c r="C271">
        <v>2.2787536009528289</v>
      </c>
      <c r="D271">
        <v>1</v>
      </c>
      <c r="E271">
        <v>270</v>
      </c>
      <c r="F271">
        <f t="shared" si="24"/>
        <v>0.93501624268541372</v>
      </c>
      <c r="G271">
        <f t="shared" si="25"/>
        <v>0.35460488704253862</v>
      </c>
      <c r="H271">
        <f t="shared" si="26"/>
        <v>2.2734514017858221</v>
      </c>
      <c r="I271">
        <f>C271-H271</f>
        <v>5.3021991670068047E-3</v>
      </c>
      <c r="J271" t="str">
        <f t="shared" si="27"/>
        <v/>
      </c>
      <c r="K271">
        <f t="shared" si="28"/>
        <v>2.3710082234840608</v>
      </c>
      <c r="L271">
        <f t="shared" si="29"/>
        <v>0</v>
      </c>
    </row>
    <row r="272" spans="1:12" x14ac:dyDescent="0.25">
      <c r="A272" s="1">
        <v>43899</v>
      </c>
      <c r="B272">
        <v>193</v>
      </c>
      <c r="C272">
        <v>2.2855573090077739</v>
      </c>
      <c r="D272">
        <v>1</v>
      </c>
      <c r="E272">
        <v>271</v>
      </c>
      <c r="F272">
        <f t="shared" si="24"/>
        <v>0.97094181742605157</v>
      </c>
      <c r="G272">
        <f t="shared" si="25"/>
        <v>0.23931566428755968</v>
      </c>
      <c r="H272">
        <f t="shared" si="26"/>
        <v>2.2722985784177894</v>
      </c>
      <c r="I272">
        <f>C272-H272</f>
        <v>1.3258730589984502E-2</v>
      </c>
      <c r="J272" t="str">
        <f t="shared" si="27"/>
        <v/>
      </c>
      <c r="K272">
        <f t="shared" si="28"/>
        <v>2.3698554001160281</v>
      </c>
      <c r="L272">
        <f t="shared" si="29"/>
        <v>0</v>
      </c>
    </row>
    <row r="273" spans="1:12" x14ac:dyDescent="0.25">
      <c r="A273" s="1">
        <v>43906</v>
      </c>
      <c r="B273">
        <v>254</v>
      </c>
      <c r="C273">
        <v>2.4048337166199381</v>
      </c>
      <c r="D273">
        <v>1</v>
      </c>
      <c r="E273">
        <v>272</v>
      </c>
      <c r="F273">
        <f t="shared" si="24"/>
        <v>0.99270887409805386</v>
      </c>
      <c r="G273">
        <f t="shared" si="25"/>
        <v>0.12053668025532378</v>
      </c>
      <c r="H273">
        <f t="shared" si="26"/>
        <v>2.2705494707840699</v>
      </c>
      <c r="I273">
        <f>C273-H273</f>
        <v>0.13428424583586818</v>
      </c>
      <c r="J273" t="str">
        <f t="shared" si="27"/>
        <v/>
      </c>
      <c r="K273">
        <f t="shared" si="28"/>
        <v>2.3681062924823086</v>
      </c>
      <c r="L273">
        <f t="shared" si="29"/>
        <v>20.597075983196845</v>
      </c>
    </row>
    <row r="274" spans="1:12" x14ac:dyDescent="0.25">
      <c r="A274" s="1">
        <v>43913</v>
      </c>
      <c r="B274">
        <v>331</v>
      </c>
      <c r="C274">
        <v>2.5198279937757189</v>
      </c>
      <c r="D274">
        <v>1</v>
      </c>
      <c r="E274">
        <v>273</v>
      </c>
      <c r="F274">
        <f t="shared" si="24"/>
        <v>1</v>
      </c>
      <c r="G274">
        <f t="shared" si="25"/>
        <v>-4.8995096174619945E-16</v>
      </c>
      <c r="H274">
        <f t="shared" si="26"/>
        <v>2.2682295848126106</v>
      </c>
      <c r="I274">
        <f>C274-H274</f>
        <v>0.25159840896310826</v>
      </c>
      <c r="J274" t="str">
        <f t="shared" si="27"/>
        <v/>
      </c>
      <c r="K274">
        <f t="shared" si="28"/>
        <v>2.3657864065108494</v>
      </c>
      <c r="L274">
        <f t="shared" si="29"/>
        <v>98.84052846428844</v>
      </c>
    </row>
    <row r="275" spans="1:12" x14ac:dyDescent="0.25">
      <c r="A275" s="1">
        <v>43920</v>
      </c>
      <c r="B275">
        <v>482</v>
      </c>
      <c r="C275">
        <v>2.6830470382388496</v>
      </c>
      <c r="D275">
        <v>1</v>
      </c>
      <c r="E275">
        <v>274</v>
      </c>
      <c r="F275">
        <f t="shared" si="24"/>
        <v>0.99270887409805375</v>
      </c>
      <c r="G275">
        <f t="shared" si="25"/>
        <v>-0.12053668025532475</v>
      </c>
      <c r="H275">
        <f t="shared" si="26"/>
        <v>2.2653727496648046</v>
      </c>
      <c r="I275">
        <f>C275-H275</f>
        <v>0.41767428857404498</v>
      </c>
      <c r="J275" t="str">
        <f t="shared" si="27"/>
        <v/>
      </c>
      <c r="K275">
        <f t="shared" si="28"/>
        <v>2.3629295713630434</v>
      </c>
      <c r="L275">
        <f t="shared" si="29"/>
        <v>251.36268613652996</v>
      </c>
    </row>
    <row r="276" spans="1:12" x14ac:dyDescent="0.25">
      <c r="A276" s="1">
        <v>43927</v>
      </c>
      <c r="B276">
        <v>515</v>
      </c>
      <c r="C276">
        <v>2.7118072290411912</v>
      </c>
      <c r="D276">
        <v>1</v>
      </c>
      <c r="E276">
        <v>275</v>
      </c>
      <c r="F276">
        <f t="shared" si="24"/>
        <v>0.97094181742605135</v>
      </c>
      <c r="G276">
        <f t="shared" si="25"/>
        <v>-0.23931566428756063</v>
      </c>
      <c r="H276">
        <f t="shared" si="26"/>
        <v>2.2620206244301384</v>
      </c>
      <c r="I276">
        <f>C276-H276</f>
        <v>0.4497866046110528</v>
      </c>
      <c r="J276" t="str">
        <f t="shared" si="27"/>
        <v/>
      </c>
      <c r="K276">
        <f t="shared" si="28"/>
        <v>2.3595774461283772</v>
      </c>
      <c r="L276">
        <f t="shared" si="29"/>
        <v>286.13602001433424</v>
      </c>
    </row>
    <row r="277" spans="1:12" x14ac:dyDescent="0.25">
      <c r="A277" s="1">
        <v>43934</v>
      </c>
      <c r="B277">
        <v>373</v>
      </c>
      <c r="C277">
        <v>2.5717088318086878</v>
      </c>
      <c r="D277">
        <v>1</v>
      </c>
      <c r="E277">
        <v>276</v>
      </c>
      <c r="F277">
        <f t="shared" si="24"/>
        <v>0.93501624268541583</v>
      </c>
      <c r="G277">
        <f t="shared" si="25"/>
        <v>-0.3546048870425329</v>
      </c>
      <c r="H277">
        <f t="shared" si="26"/>
        <v>2.2582220906428629</v>
      </c>
      <c r="I277">
        <f>C277-H277</f>
        <v>0.31348674116582487</v>
      </c>
      <c r="J277" t="str">
        <f t="shared" si="27"/>
        <v/>
      </c>
      <c r="K277">
        <f t="shared" si="28"/>
        <v>2.3557789123411017</v>
      </c>
      <c r="L277">
        <f t="shared" si="29"/>
        <v>146.12903812869695</v>
      </c>
    </row>
    <row r="278" spans="1:12" x14ac:dyDescent="0.25">
      <c r="A278" s="1">
        <v>43941</v>
      </c>
      <c r="B278">
        <v>309</v>
      </c>
      <c r="C278">
        <v>2.4899584794248346</v>
      </c>
      <c r="D278">
        <v>1</v>
      </c>
      <c r="E278">
        <v>277</v>
      </c>
      <c r="F278">
        <f t="shared" si="24"/>
        <v>0.88545602565321069</v>
      </c>
      <c r="G278">
        <f t="shared" si="25"/>
        <v>-0.46472317204376701</v>
      </c>
      <c r="H278">
        <f t="shared" si="26"/>
        <v>2.2540325394791489</v>
      </c>
      <c r="I278">
        <f>C278-H278</f>
        <v>0.23592593994568567</v>
      </c>
      <c r="J278" t="str">
        <f t="shared" si="27"/>
        <v/>
      </c>
      <c r="K278">
        <f t="shared" si="28"/>
        <v>2.3515893611773877</v>
      </c>
      <c r="L278">
        <f t="shared" si="29"/>
        <v>84.307093959315409</v>
      </c>
    </row>
    <row r="279" spans="1:12" x14ac:dyDescent="0.25">
      <c r="A279" s="1">
        <v>43948</v>
      </c>
      <c r="B279">
        <v>235</v>
      </c>
      <c r="C279">
        <v>2.3710678622717363</v>
      </c>
      <c r="D279">
        <v>1</v>
      </c>
      <c r="E279">
        <v>278</v>
      </c>
      <c r="F279">
        <f t="shared" si="24"/>
        <v>0.82298386589365669</v>
      </c>
      <c r="G279">
        <f t="shared" si="25"/>
        <v>-0.56806474673115537</v>
      </c>
      <c r="H279">
        <f t="shared" si="26"/>
        <v>2.2495130640290113</v>
      </c>
      <c r="I279">
        <f>C279-H279</f>
        <v>0.12155479824272497</v>
      </c>
      <c r="J279" t="str">
        <f t="shared" si="27"/>
        <v/>
      </c>
      <c r="K279">
        <f t="shared" si="28"/>
        <v>2.3470698857272501</v>
      </c>
      <c r="L279">
        <f t="shared" si="29"/>
        <v>12.633231034982742</v>
      </c>
    </row>
    <row r="280" spans="1:12" x14ac:dyDescent="0.25">
      <c r="A280" s="1">
        <v>43955</v>
      </c>
      <c r="B280">
        <v>192</v>
      </c>
      <c r="C280">
        <v>2.2833012287035497</v>
      </c>
      <c r="D280">
        <v>1</v>
      </c>
      <c r="E280">
        <v>279</v>
      </c>
      <c r="F280">
        <f t="shared" si="24"/>
        <v>0.74851074817110064</v>
      </c>
      <c r="G280">
        <f t="shared" si="25"/>
        <v>-0.66312265824079575</v>
      </c>
      <c r="H280">
        <f t="shared" si="26"/>
        <v>2.2447295684214859</v>
      </c>
      <c r="I280">
        <f>C280-H280</f>
        <v>3.8571660282063824E-2</v>
      </c>
      <c r="J280" t="str">
        <f t="shared" si="27"/>
        <v/>
      </c>
      <c r="K280">
        <f t="shared" si="28"/>
        <v>2.3422863901197246</v>
      </c>
      <c r="L280">
        <f t="shared" si="29"/>
        <v>0</v>
      </c>
    </row>
    <row r="281" spans="1:12" x14ac:dyDescent="0.25">
      <c r="A281" s="1">
        <v>43962</v>
      </c>
      <c r="B281">
        <v>175</v>
      </c>
      <c r="C281">
        <v>2.2430380486862944</v>
      </c>
      <c r="D281">
        <v>1</v>
      </c>
      <c r="E281">
        <v>280</v>
      </c>
      <c r="F281">
        <f t="shared" si="24"/>
        <v>0.66312265824079908</v>
      </c>
      <c r="G281">
        <f t="shared" si="25"/>
        <v>-0.74851074817109764</v>
      </c>
      <c r="H281">
        <f t="shared" si="26"/>
        <v>2.2397518067940245</v>
      </c>
      <c r="I281">
        <f>C281-H281</f>
        <v>3.2862418922698922E-3</v>
      </c>
      <c r="J281" t="str">
        <f t="shared" si="27"/>
        <v/>
      </c>
      <c r="K281">
        <f t="shared" si="28"/>
        <v>2.3373086284922633</v>
      </c>
      <c r="L281">
        <f t="shared" si="29"/>
        <v>0</v>
      </c>
    </row>
    <row r="282" spans="1:12" x14ac:dyDescent="0.25">
      <c r="A282" s="1">
        <v>43969</v>
      </c>
      <c r="B282">
        <v>169</v>
      </c>
      <c r="C282">
        <v>2.2278867046136734</v>
      </c>
      <c r="D282">
        <v>1</v>
      </c>
      <c r="E282">
        <v>281</v>
      </c>
      <c r="F282">
        <f t="shared" si="24"/>
        <v>0.56806474673115903</v>
      </c>
      <c r="G282">
        <f t="shared" si="25"/>
        <v>-0.82298386589365413</v>
      </c>
      <c r="H282">
        <f t="shared" si="26"/>
        <v>2.2346523661200974</v>
      </c>
      <c r="I282">
        <f>C282-H282</f>
        <v>-6.7656615064239922E-3</v>
      </c>
      <c r="J282" t="str">
        <f t="shared" si="27"/>
        <v/>
      </c>
      <c r="K282">
        <f t="shared" si="28"/>
        <v>2.3322091878183362</v>
      </c>
      <c r="L282">
        <f t="shared" si="29"/>
        <v>0</v>
      </c>
    </row>
    <row r="283" spans="1:12" x14ac:dyDescent="0.25">
      <c r="A283" s="1">
        <v>43976</v>
      </c>
      <c r="B283">
        <v>148</v>
      </c>
      <c r="C283">
        <v>2.1702617153949575</v>
      </c>
      <c r="D283">
        <v>1</v>
      </c>
      <c r="E283">
        <v>282</v>
      </c>
      <c r="F283">
        <f t="shared" si="24"/>
        <v>0.46472317204377095</v>
      </c>
      <c r="G283">
        <f t="shared" si="25"/>
        <v>-0.88545602565320869</v>
      </c>
      <c r="H283">
        <f t="shared" si="26"/>
        <v>2.2295056077276718</v>
      </c>
      <c r="I283">
        <f>C283-H283</f>
        <v>-5.9243892332714321E-2</v>
      </c>
      <c r="J283" t="str">
        <f t="shared" si="27"/>
        <v/>
      </c>
      <c r="K283">
        <f t="shared" si="28"/>
        <v>2.3270624294259106</v>
      </c>
      <c r="L283">
        <f t="shared" si="29"/>
        <v>0</v>
      </c>
    </row>
    <row r="284" spans="1:12" x14ac:dyDescent="0.25">
      <c r="A284" s="1">
        <v>43983</v>
      </c>
      <c r="B284">
        <v>147</v>
      </c>
      <c r="C284">
        <v>2.167317334748176</v>
      </c>
      <c r="D284">
        <v>1</v>
      </c>
      <c r="E284">
        <v>283</v>
      </c>
      <c r="F284">
        <f t="shared" si="24"/>
        <v>0.35460488704253701</v>
      </c>
      <c r="G284">
        <f t="shared" si="25"/>
        <v>-0.93501624268541428</v>
      </c>
      <c r="H284">
        <f t="shared" si="26"/>
        <v>2.2243865829436</v>
      </c>
      <c r="I284">
        <f>C284-H284</f>
        <v>-5.7069248195424027E-2</v>
      </c>
      <c r="J284" t="str">
        <f t="shared" si="27"/>
        <v/>
      </c>
      <c r="K284">
        <f t="shared" si="28"/>
        <v>2.3219434046418388</v>
      </c>
      <c r="L284">
        <f t="shared" si="29"/>
        <v>0</v>
      </c>
    </row>
    <row r="285" spans="1:12" x14ac:dyDescent="0.25">
      <c r="A285" s="1">
        <v>43990</v>
      </c>
      <c r="B285">
        <v>143</v>
      </c>
      <c r="C285">
        <v>2.1553360374650619</v>
      </c>
      <c r="D285">
        <v>1</v>
      </c>
      <c r="E285">
        <v>284</v>
      </c>
      <c r="F285">
        <f t="shared" si="24"/>
        <v>0.23931566428755802</v>
      </c>
      <c r="G285">
        <f t="shared" si="25"/>
        <v>-0.97094181742605201</v>
      </c>
      <c r="H285">
        <f t="shared" si="26"/>
        <v>2.2193699386762726</v>
      </c>
      <c r="I285">
        <f>C285-H285</f>
        <v>-6.4033901211210775E-2</v>
      </c>
      <c r="J285" t="str">
        <f t="shared" si="27"/>
        <v/>
      </c>
      <c r="K285">
        <f t="shared" si="28"/>
        <v>2.3169267603745114</v>
      </c>
      <c r="L285">
        <f t="shared" si="29"/>
        <v>0</v>
      </c>
    </row>
    <row r="286" spans="1:12" x14ac:dyDescent="0.25">
      <c r="A286" s="1">
        <v>43997</v>
      </c>
      <c r="B286">
        <v>149</v>
      </c>
      <c r="C286">
        <v>2.173186268412274</v>
      </c>
      <c r="D286">
        <v>1</v>
      </c>
      <c r="E286">
        <v>285</v>
      </c>
      <c r="F286">
        <f t="shared" si="24"/>
        <v>0.12053668025532208</v>
      </c>
      <c r="G286">
        <f t="shared" si="25"/>
        <v>-0.99270887409805408</v>
      </c>
      <c r="H286">
        <f t="shared" si="26"/>
        <v>2.2145288288956073</v>
      </c>
      <c r="I286">
        <f>C286-H286</f>
        <v>-4.134256048333329E-2</v>
      </c>
      <c r="J286" t="str">
        <f t="shared" si="27"/>
        <v/>
      </c>
      <c r="K286">
        <f t="shared" si="28"/>
        <v>2.3120856505938461</v>
      </c>
      <c r="L286">
        <f t="shared" si="29"/>
        <v>0</v>
      </c>
    </row>
    <row r="287" spans="1:12" x14ac:dyDescent="0.25">
      <c r="A287" s="1">
        <v>44004</v>
      </c>
      <c r="B287">
        <v>161</v>
      </c>
      <c r="C287">
        <v>2.2068258760318495</v>
      </c>
      <c r="D287">
        <v>1</v>
      </c>
      <c r="E287">
        <v>286</v>
      </c>
      <c r="F287">
        <f t="shared" si="24"/>
        <v>-2.2050503784010189E-15</v>
      </c>
      <c r="G287">
        <f t="shared" si="25"/>
        <v>-1</v>
      </c>
      <c r="H287">
        <f t="shared" si="26"/>
        <v>2.2099338478834358</v>
      </c>
      <c r="I287">
        <f>C287-H287</f>
        <v>-3.1079718515862886E-3</v>
      </c>
      <c r="J287" t="str">
        <f t="shared" si="27"/>
        <v/>
      </c>
      <c r="K287">
        <f t="shared" si="28"/>
        <v>2.3074906695816746</v>
      </c>
      <c r="L287">
        <f t="shared" si="29"/>
        <v>0</v>
      </c>
    </row>
    <row r="288" spans="1:12" x14ac:dyDescent="0.25">
      <c r="A288" s="1">
        <v>44011</v>
      </c>
      <c r="B288">
        <v>141</v>
      </c>
      <c r="C288">
        <v>2.1492191126553797</v>
      </c>
      <c r="D288">
        <v>1</v>
      </c>
      <c r="E288">
        <v>287</v>
      </c>
      <c r="F288">
        <f t="shared" si="24"/>
        <v>-0.12053668025531941</v>
      </c>
      <c r="G288">
        <f t="shared" si="25"/>
        <v>-0.99270887409805442</v>
      </c>
      <c r="H288">
        <f t="shared" si="26"/>
        <v>2.2056520008099119</v>
      </c>
      <c r="I288">
        <f>C288-H288</f>
        <v>-5.6432888154532179E-2</v>
      </c>
      <c r="J288" t="str">
        <f t="shared" si="27"/>
        <v/>
      </c>
      <c r="K288">
        <f t="shared" si="28"/>
        <v>2.3032088225081506</v>
      </c>
      <c r="L288">
        <f t="shared" si="29"/>
        <v>0</v>
      </c>
    </row>
    <row r="289" spans="1:12" x14ac:dyDescent="0.25">
      <c r="A289" s="1">
        <v>44018</v>
      </c>
      <c r="B289">
        <v>126</v>
      </c>
      <c r="C289">
        <v>2.1003705451175629</v>
      </c>
      <c r="D289">
        <v>1</v>
      </c>
      <c r="E289">
        <v>288</v>
      </c>
      <c r="F289">
        <f t="shared" si="24"/>
        <v>-0.23931566428755538</v>
      </c>
      <c r="G289">
        <f t="shared" si="25"/>
        <v>-0.97094181742605257</v>
      </c>
      <c r="H289">
        <f t="shared" si="26"/>
        <v>2.2017457266472467</v>
      </c>
      <c r="I289">
        <f>C289-H289</f>
        <v>-0.10137518152968372</v>
      </c>
      <c r="J289" t="str">
        <f t="shared" si="27"/>
        <v/>
      </c>
      <c r="K289">
        <f t="shared" si="28"/>
        <v>2.2993025483454854</v>
      </c>
      <c r="L289">
        <f t="shared" si="29"/>
        <v>0</v>
      </c>
    </row>
    <row r="290" spans="1:12" x14ac:dyDescent="0.25">
      <c r="A290" s="1">
        <v>44025</v>
      </c>
      <c r="B290">
        <v>140</v>
      </c>
      <c r="C290">
        <v>2.1461280356782382</v>
      </c>
      <c r="D290">
        <v>1</v>
      </c>
      <c r="E290">
        <v>289</v>
      </c>
      <c r="F290">
        <f t="shared" si="24"/>
        <v>-0.35460488704253446</v>
      </c>
      <c r="G290">
        <f t="shared" si="25"/>
        <v>-0.93501624268541528</v>
      </c>
      <c r="H290">
        <f t="shared" si="26"/>
        <v>2.1982719876688965</v>
      </c>
      <c r="I290">
        <f>C290-H290</f>
        <v>-5.2143951990658355E-2</v>
      </c>
      <c r="J290" t="str">
        <f t="shared" si="27"/>
        <v/>
      </c>
      <c r="K290">
        <f t="shared" si="28"/>
        <v>2.2958288093671353</v>
      </c>
      <c r="L290">
        <f t="shared" si="29"/>
        <v>0</v>
      </c>
    </row>
    <row r="291" spans="1:12" x14ac:dyDescent="0.25">
      <c r="A291" s="1">
        <v>44032</v>
      </c>
      <c r="B291">
        <v>159</v>
      </c>
      <c r="C291">
        <v>2.2013971243204513</v>
      </c>
      <c r="D291">
        <v>1</v>
      </c>
      <c r="E291">
        <v>290</v>
      </c>
      <c r="F291">
        <f t="shared" si="24"/>
        <v>-0.46472317204376856</v>
      </c>
      <c r="G291">
        <f t="shared" si="25"/>
        <v>-0.88545602565320991</v>
      </c>
      <c r="H291">
        <f t="shared" si="26"/>
        <v>2.1952814388113429</v>
      </c>
      <c r="I291">
        <f>C291-H291</f>
        <v>6.1156855091084594E-3</v>
      </c>
      <c r="J291" t="str">
        <f t="shared" si="27"/>
        <v/>
      </c>
      <c r="K291">
        <f t="shared" si="28"/>
        <v>2.2928382605095816</v>
      </c>
      <c r="L291">
        <f t="shared" si="29"/>
        <v>0</v>
      </c>
    </row>
    <row r="292" spans="1:12" x14ac:dyDescent="0.25">
      <c r="A292" s="1">
        <v>44039</v>
      </c>
      <c r="B292">
        <v>135</v>
      </c>
      <c r="C292">
        <v>2.1303337684950061</v>
      </c>
      <c r="D292">
        <v>1</v>
      </c>
      <c r="E292">
        <v>291</v>
      </c>
      <c r="F292">
        <f t="shared" si="24"/>
        <v>-0.56806474673115093</v>
      </c>
      <c r="G292">
        <f t="shared" si="25"/>
        <v>-0.82298386589365968</v>
      </c>
      <c r="H292">
        <f t="shared" si="26"/>
        <v>2.1928176890110604</v>
      </c>
      <c r="I292">
        <f>C292-H292</f>
        <v>-6.2483920516054337E-2</v>
      </c>
      <c r="J292" t="str">
        <f t="shared" si="27"/>
        <v/>
      </c>
      <c r="K292">
        <f t="shared" si="28"/>
        <v>2.2903745107092992</v>
      </c>
      <c r="L292">
        <f t="shared" si="29"/>
        <v>0</v>
      </c>
    </row>
    <row r="293" spans="1:12" x14ac:dyDescent="0.25">
      <c r="A293" s="1">
        <v>44046</v>
      </c>
      <c r="B293">
        <v>158</v>
      </c>
      <c r="C293">
        <v>2.1986570869544226</v>
      </c>
      <c r="D293">
        <v>1</v>
      </c>
      <c r="E293">
        <v>292</v>
      </c>
      <c r="F293">
        <f t="shared" si="24"/>
        <v>-0.66312265824079175</v>
      </c>
      <c r="G293">
        <f t="shared" si="25"/>
        <v>-0.74851074817110419</v>
      </c>
      <c r="H293">
        <f t="shared" si="26"/>
        <v>2.1909166652880172</v>
      </c>
      <c r="I293">
        <f>C293-H293</f>
        <v>7.7404216664054282E-3</v>
      </c>
      <c r="J293" t="str">
        <f t="shared" si="27"/>
        <v/>
      </c>
      <c r="K293">
        <f t="shared" si="28"/>
        <v>2.288473486986256</v>
      </c>
      <c r="L293">
        <f t="shared" si="29"/>
        <v>0</v>
      </c>
    </row>
    <row r="294" spans="1:12" x14ac:dyDescent="0.25">
      <c r="A294" s="1">
        <v>44053</v>
      </c>
      <c r="B294">
        <v>251</v>
      </c>
      <c r="C294">
        <v>2.399673721481038</v>
      </c>
      <c r="D294">
        <v>1</v>
      </c>
      <c r="E294">
        <v>293</v>
      </c>
      <c r="F294">
        <f t="shared" si="24"/>
        <v>-0.74851074817109886</v>
      </c>
      <c r="G294">
        <f t="shared" si="25"/>
        <v>-0.66312265824079775</v>
      </c>
      <c r="H294">
        <f t="shared" si="26"/>
        <v>2.1896060888488287</v>
      </c>
      <c r="I294">
        <f>C294-H294</f>
        <v>0.21006763263220929</v>
      </c>
      <c r="J294" t="str">
        <f t="shared" si="27"/>
        <v/>
      </c>
      <c r="K294">
        <f t="shared" si="28"/>
        <v>2.2871629105470674</v>
      </c>
      <c r="L294">
        <f t="shared" si="29"/>
        <v>57.285151810378551</v>
      </c>
    </row>
    <row r="295" spans="1:12" x14ac:dyDescent="0.25">
      <c r="A295" s="1">
        <v>44060</v>
      </c>
      <c r="B295">
        <v>205</v>
      </c>
      <c r="C295">
        <v>2.3117538610557542</v>
      </c>
      <c r="D295">
        <v>1</v>
      </c>
      <c r="E295">
        <v>294</v>
      </c>
      <c r="F295">
        <f t="shared" si="24"/>
        <v>-0.82298386589365513</v>
      </c>
      <c r="G295">
        <f t="shared" si="25"/>
        <v>-0.56806474673115759</v>
      </c>
      <c r="H295">
        <f t="shared" si="26"/>
        <v>2.1889050708491387</v>
      </c>
      <c r="I295">
        <f>C295-H295</f>
        <v>0.12284879020661554</v>
      </c>
      <c r="J295" t="str">
        <f t="shared" si="27"/>
        <v/>
      </c>
      <c r="K295">
        <f t="shared" si="28"/>
        <v>2.2864618925473774</v>
      </c>
      <c r="L295">
        <f t="shared" si="29"/>
        <v>11.597585103684736</v>
      </c>
    </row>
    <row r="296" spans="1:12" x14ac:dyDescent="0.25">
      <c r="A296" s="1">
        <v>44067</v>
      </c>
      <c r="B296">
        <v>126</v>
      </c>
      <c r="C296">
        <v>2.1003705451175629</v>
      </c>
      <c r="D296">
        <v>1</v>
      </c>
      <c r="E296">
        <v>295</v>
      </c>
      <c r="F296">
        <f t="shared" si="24"/>
        <v>-0.88545602565320947</v>
      </c>
      <c r="G296">
        <f t="shared" si="25"/>
        <v>-0.46472317204376939</v>
      </c>
      <c r="H296">
        <f t="shared" si="26"/>
        <v>2.1888238337099377</v>
      </c>
      <c r="I296">
        <f>C296-H296</f>
        <v>-8.8453288592374779E-2</v>
      </c>
      <c r="J296" t="str">
        <f t="shared" si="27"/>
        <v/>
      </c>
      <c r="K296">
        <f t="shared" si="28"/>
        <v>2.2863806554081765</v>
      </c>
      <c r="L296">
        <f t="shared" si="29"/>
        <v>0</v>
      </c>
    </row>
    <row r="297" spans="1:12" x14ac:dyDescent="0.25">
      <c r="A297" s="1">
        <v>44074</v>
      </c>
      <c r="B297">
        <v>155</v>
      </c>
      <c r="C297">
        <v>2.1903316981702914</v>
      </c>
      <c r="D297">
        <v>1</v>
      </c>
      <c r="E297">
        <v>296</v>
      </c>
      <c r="F297">
        <f t="shared" si="24"/>
        <v>-0.93501624268541494</v>
      </c>
      <c r="G297">
        <f t="shared" si="25"/>
        <v>-0.3546048870425354</v>
      </c>
      <c r="H297">
        <f t="shared" si="26"/>
        <v>2.1893635620516463</v>
      </c>
      <c r="I297">
        <f>C297-H297</f>
        <v>9.6813611864510207E-4</v>
      </c>
      <c r="J297" t="str">
        <f t="shared" si="27"/>
        <v/>
      </c>
      <c r="K297">
        <f t="shared" si="28"/>
        <v>2.286920383749885</v>
      </c>
      <c r="L297">
        <f t="shared" si="29"/>
        <v>0</v>
      </c>
    </row>
    <row r="298" spans="1:12" x14ac:dyDescent="0.25">
      <c r="A298" s="1">
        <v>44081</v>
      </c>
      <c r="B298">
        <v>142</v>
      </c>
      <c r="C298">
        <v>2.1522883443830563</v>
      </c>
      <c r="D298">
        <v>1</v>
      </c>
      <c r="E298">
        <v>297</v>
      </c>
      <c r="F298">
        <f t="shared" si="24"/>
        <v>-0.97094181742605234</v>
      </c>
      <c r="G298">
        <f t="shared" si="25"/>
        <v>-0.23931566428755635</v>
      </c>
      <c r="H298">
        <f t="shared" si="26"/>
        <v>2.190516385419679</v>
      </c>
      <c r="I298">
        <f>C298-H298</f>
        <v>-3.8228041036622695E-2</v>
      </c>
      <c r="J298" t="str">
        <f t="shared" si="27"/>
        <v/>
      </c>
      <c r="K298">
        <f t="shared" si="28"/>
        <v>2.2880732071179177</v>
      </c>
      <c r="L298">
        <f t="shared" si="29"/>
        <v>0</v>
      </c>
    </row>
    <row r="299" spans="1:12" x14ac:dyDescent="0.25">
      <c r="A299" s="1">
        <v>44088</v>
      </c>
      <c r="B299">
        <v>150</v>
      </c>
      <c r="C299">
        <v>2.1760912590556813</v>
      </c>
      <c r="D299">
        <v>1</v>
      </c>
      <c r="E299">
        <v>298</v>
      </c>
      <c r="F299">
        <f t="shared" si="24"/>
        <v>-0.99270887409805342</v>
      </c>
      <c r="G299">
        <f t="shared" si="25"/>
        <v>-0.12053668025532743</v>
      </c>
      <c r="H299">
        <f t="shared" si="26"/>
        <v>2.1922654930533985</v>
      </c>
      <c r="I299">
        <f>C299-H299</f>
        <v>-1.6174233997717113E-2</v>
      </c>
      <c r="J299" t="str">
        <f t="shared" si="27"/>
        <v/>
      </c>
      <c r="K299">
        <f t="shared" si="28"/>
        <v>2.2898223147516372</v>
      </c>
      <c r="L299">
        <f t="shared" si="29"/>
        <v>0</v>
      </c>
    </row>
    <row r="300" spans="1:12" x14ac:dyDescent="0.25">
      <c r="A300" s="1">
        <v>44095</v>
      </c>
      <c r="B300">
        <v>155</v>
      </c>
      <c r="C300">
        <v>2.1903316981702914</v>
      </c>
      <c r="D300">
        <v>1</v>
      </c>
      <c r="E300">
        <v>299</v>
      </c>
      <c r="F300">
        <f t="shared" si="24"/>
        <v>-1</v>
      </c>
      <c r="G300">
        <f t="shared" si="25"/>
        <v>-3.1852775625451635E-15</v>
      </c>
      <c r="H300">
        <f t="shared" si="26"/>
        <v>2.1945853790248577</v>
      </c>
      <c r="I300">
        <f>C300-H300</f>
        <v>-4.253680854566344E-3</v>
      </c>
      <c r="J300" t="str">
        <f t="shared" si="27"/>
        <v/>
      </c>
      <c r="K300">
        <f t="shared" si="28"/>
        <v>2.2921422007230965</v>
      </c>
      <c r="L300">
        <f t="shared" si="29"/>
        <v>0</v>
      </c>
    </row>
    <row r="301" spans="1:12" x14ac:dyDescent="0.25">
      <c r="A301" s="1">
        <v>44102</v>
      </c>
      <c r="B301">
        <v>160</v>
      </c>
      <c r="C301">
        <v>2.2041199826559246</v>
      </c>
      <c r="D301">
        <v>1</v>
      </c>
      <c r="E301">
        <v>300</v>
      </c>
      <c r="F301">
        <f t="shared" si="24"/>
        <v>-0.99270887409805419</v>
      </c>
      <c r="G301">
        <f t="shared" si="25"/>
        <v>0.1205366802553211</v>
      </c>
      <c r="H301">
        <f t="shared" si="26"/>
        <v>2.1974422141726637</v>
      </c>
      <c r="I301">
        <f>C301-H301</f>
        <v>6.6777684832608486E-3</v>
      </c>
      <c r="J301" t="str">
        <f t="shared" si="27"/>
        <v/>
      </c>
      <c r="K301">
        <f t="shared" si="28"/>
        <v>2.2949990358709025</v>
      </c>
      <c r="L301">
        <f t="shared" si="29"/>
        <v>0</v>
      </c>
    </row>
    <row r="302" spans="1:12" x14ac:dyDescent="0.25">
      <c r="A302" s="1">
        <v>44109</v>
      </c>
      <c r="B302">
        <v>184</v>
      </c>
      <c r="C302">
        <v>2.2648178230095364</v>
      </c>
      <c r="D302">
        <v>1</v>
      </c>
      <c r="E302">
        <v>301</v>
      </c>
      <c r="F302">
        <f t="shared" si="24"/>
        <v>-0.97094181742605223</v>
      </c>
      <c r="G302">
        <f t="shared" si="25"/>
        <v>0.23931566428755705</v>
      </c>
      <c r="H302">
        <f t="shared" si="26"/>
        <v>2.2007943394073299</v>
      </c>
      <c r="I302">
        <f>C302-H302</f>
        <v>6.4023483602206444E-2</v>
      </c>
      <c r="J302" t="str">
        <f t="shared" si="27"/>
        <v/>
      </c>
      <c r="K302">
        <f t="shared" si="28"/>
        <v>2.2983511611055687</v>
      </c>
      <c r="L302">
        <f t="shared" si="29"/>
        <v>0</v>
      </c>
    </row>
    <row r="303" spans="1:12" x14ac:dyDescent="0.25">
      <c r="A303" s="1">
        <v>44116</v>
      </c>
      <c r="B303">
        <v>178</v>
      </c>
      <c r="C303">
        <v>2.2504200023088941</v>
      </c>
      <c r="D303">
        <v>1</v>
      </c>
      <c r="E303">
        <v>302</v>
      </c>
      <c r="F303">
        <f t="shared" si="24"/>
        <v>-0.93501624268541461</v>
      </c>
      <c r="G303">
        <f t="shared" si="25"/>
        <v>0.35460488704253607</v>
      </c>
      <c r="H303">
        <f t="shared" si="26"/>
        <v>2.2045928731946054</v>
      </c>
      <c r="I303">
        <f>C303-H303</f>
        <v>4.5827129114288656E-2</v>
      </c>
      <c r="J303" t="str">
        <f t="shared" si="27"/>
        <v/>
      </c>
      <c r="K303">
        <f t="shared" si="28"/>
        <v>2.3021496948928442</v>
      </c>
      <c r="L303">
        <f t="shared" si="29"/>
        <v>0</v>
      </c>
    </row>
    <row r="304" spans="1:12" x14ac:dyDescent="0.25">
      <c r="A304" s="1">
        <v>44123</v>
      </c>
      <c r="B304">
        <v>250</v>
      </c>
      <c r="C304">
        <v>2.3979400086720375</v>
      </c>
      <c r="D304">
        <v>1</v>
      </c>
      <c r="E304">
        <v>303</v>
      </c>
      <c r="F304">
        <f t="shared" si="24"/>
        <v>-0.88545602565321235</v>
      </c>
      <c r="G304">
        <f t="shared" si="25"/>
        <v>0.46472317204376379</v>
      </c>
      <c r="H304">
        <f t="shared" si="26"/>
        <v>2.2087824243583194</v>
      </c>
      <c r="I304">
        <f>C304-H304</f>
        <v>0.1891575843137181</v>
      </c>
      <c r="J304" t="str">
        <f t="shared" si="27"/>
        <v/>
      </c>
      <c r="K304">
        <f t="shared" si="28"/>
        <v>2.3063392460565582</v>
      </c>
      <c r="L304">
        <f t="shared" si="29"/>
        <v>47.539993686011115</v>
      </c>
    </row>
    <row r="305" spans="1:12" x14ac:dyDescent="0.25">
      <c r="A305" s="1">
        <v>44130</v>
      </c>
      <c r="B305">
        <v>316</v>
      </c>
      <c r="C305">
        <v>2.4996870826184039</v>
      </c>
      <c r="D305">
        <v>1</v>
      </c>
      <c r="E305">
        <v>304</v>
      </c>
      <c r="F305">
        <f t="shared" si="24"/>
        <v>-0.82298386589365879</v>
      </c>
      <c r="G305">
        <f t="shared" si="25"/>
        <v>0.56806474673115237</v>
      </c>
      <c r="H305">
        <f t="shared" si="26"/>
        <v>2.2133018998084566</v>
      </c>
      <c r="I305">
        <f>C305-H305</f>
        <v>0.28638518280994729</v>
      </c>
      <c r="J305" t="str">
        <f t="shared" si="27"/>
        <v/>
      </c>
      <c r="K305">
        <f t="shared" si="28"/>
        <v>2.3108587215066954</v>
      </c>
      <c r="L305">
        <f t="shared" si="29"/>
        <v>111.42209752185559</v>
      </c>
    </row>
    <row r="306" spans="1:12" x14ac:dyDescent="0.25">
      <c r="A306" s="1">
        <v>44137</v>
      </c>
      <c r="B306">
        <v>326</v>
      </c>
      <c r="C306">
        <v>2.5132176000679389</v>
      </c>
      <c r="D306">
        <v>1</v>
      </c>
      <c r="E306">
        <v>305</v>
      </c>
      <c r="F306">
        <f t="shared" si="24"/>
        <v>-0.74851074817110308</v>
      </c>
      <c r="G306">
        <f t="shared" si="25"/>
        <v>0.66312265824079297</v>
      </c>
      <c r="H306">
        <f t="shared" si="26"/>
        <v>2.218085395415982</v>
      </c>
      <c r="I306">
        <f>C306-H306</f>
        <v>0.29513220465195689</v>
      </c>
      <c r="J306" t="str">
        <f t="shared" si="27"/>
        <v/>
      </c>
      <c r="K306">
        <f t="shared" si="28"/>
        <v>2.3156422171142208</v>
      </c>
      <c r="L306">
        <f t="shared" si="29"/>
        <v>119.15633842243869</v>
      </c>
    </row>
    <row r="307" spans="1:12" x14ac:dyDescent="0.25">
      <c r="A307" s="1">
        <v>44144</v>
      </c>
      <c r="B307">
        <v>294</v>
      </c>
      <c r="C307">
        <v>2.4683473304121573</v>
      </c>
      <c r="D307">
        <v>1</v>
      </c>
      <c r="E307">
        <v>306</v>
      </c>
      <c r="F307">
        <f t="shared" si="24"/>
        <v>-0.66312265824079653</v>
      </c>
      <c r="G307">
        <f t="shared" si="25"/>
        <v>0.74851074817109997</v>
      </c>
      <c r="H307">
        <f t="shared" si="26"/>
        <v>2.2230631570434438</v>
      </c>
      <c r="I307">
        <f>C307-H307</f>
        <v>0.24528417336871344</v>
      </c>
      <c r="J307" t="str">
        <f t="shared" si="27"/>
        <v/>
      </c>
      <c r="K307">
        <f t="shared" si="28"/>
        <v>2.3206199787416826</v>
      </c>
      <c r="L307">
        <f t="shared" si="29"/>
        <v>84.771915658511688</v>
      </c>
    </row>
    <row r="308" spans="1:12" x14ac:dyDescent="0.25">
      <c r="A308" s="1">
        <v>44151</v>
      </c>
      <c r="B308">
        <v>276</v>
      </c>
      <c r="C308">
        <v>2.4409090820652177</v>
      </c>
      <c r="D308">
        <v>1</v>
      </c>
      <c r="E308">
        <v>307</v>
      </c>
      <c r="F308">
        <f t="shared" si="24"/>
        <v>-0.56806474673115626</v>
      </c>
      <c r="G308">
        <f t="shared" si="25"/>
        <v>0.82298386589365613</v>
      </c>
      <c r="H308">
        <f t="shared" si="26"/>
        <v>2.2281625977173709</v>
      </c>
      <c r="I308">
        <f>C308-H308</f>
        <v>0.21274648434784682</v>
      </c>
      <c r="J308" t="str">
        <f t="shared" si="27"/>
        <v/>
      </c>
      <c r="K308">
        <f t="shared" si="28"/>
        <v>2.3257194194156097</v>
      </c>
      <c r="L308">
        <f t="shared" si="29"/>
        <v>64.300701256712358</v>
      </c>
    </row>
    <row r="309" spans="1:12" x14ac:dyDescent="0.25">
      <c r="A309" s="1">
        <v>44158</v>
      </c>
      <c r="B309">
        <v>262</v>
      </c>
      <c r="C309">
        <v>2.4183012913197452</v>
      </c>
      <c r="D309">
        <v>1</v>
      </c>
      <c r="E309">
        <v>308</v>
      </c>
      <c r="F309">
        <f t="shared" si="24"/>
        <v>-0.4647231720437679</v>
      </c>
      <c r="G309">
        <f t="shared" si="25"/>
        <v>0.88545602565321024</v>
      </c>
      <c r="H309">
        <f t="shared" si="26"/>
        <v>2.2333093561097965</v>
      </c>
      <c r="I309">
        <f>C309-H309</f>
        <v>0.18499193520994872</v>
      </c>
      <c r="J309" t="str">
        <f t="shared" si="27"/>
        <v/>
      </c>
      <c r="K309">
        <f t="shared" si="28"/>
        <v>2.3308661778080353</v>
      </c>
      <c r="L309">
        <f t="shared" si="29"/>
        <v>47.776960100594806</v>
      </c>
    </row>
    <row r="310" spans="1:12" x14ac:dyDescent="0.25">
      <c r="A310" s="1">
        <v>44165</v>
      </c>
      <c r="B310">
        <v>188</v>
      </c>
      <c r="C310">
        <v>2.27415784926368</v>
      </c>
      <c r="D310">
        <v>1</v>
      </c>
      <c r="E310">
        <v>309</v>
      </c>
      <c r="F310">
        <f t="shared" si="24"/>
        <v>-0.35460488704253379</v>
      </c>
      <c r="G310">
        <f t="shared" si="25"/>
        <v>0.9350162426854155</v>
      </c>
      <c r="H310">
        <f t="shared" si="26"/>
        <v>2.2384283808938688</v>
      </c>
      <c r="I310">
        <f>C310-H310</f>
        <v>3.5729468369811279E-2</v>
      </c>
      <c r="J310" t="str">
        <f t="shared" si="27"/>
        <v/>
      </c>
      <c r="K310">
        <f t="shared" si="28"/>
        <v>2.3359852025921075</v>
      </c>
      <c r="L310">
        <f t="shared" si="29"/>
        <v>0</v>
      </c>
    </row>
    <row r="311" spans="1:12" x14ac:dyDescent="0.25">
      <c r="A311" s="1">
        <v>44172</v>
      </c>
      <c r="B311">
        <v>225</v>
      </c>
      <c r="C311">
        <v>2.3521825181113627</v>
      </c>
      <c r="D311">
        <v>1</v>
      </c>
      <c r="E311">
        <v>310</v>
      </c>
      <c r="F311">
        <f t="shared" si="24"/>
        <v>-0.23931566428756157</v>
      </c>
      <c r="G311">
        <f t="shared" si="25"/>
        <v>0.97094181742605112</v>
      </c>
      <c r="H311">
        <f t="shared" si="26"/>
        <v>2.2434450251611957</v>
      </c>
      <c r="I311">
        <f>C311-H311</f>
        <v>0.10873749295016699</v>
      </c>
      <c r="J311" t="str">
        <f t="shared" si="27"/>
        <v/>
      </c>
      <c r="K311">
        <f t="shared" si="28"/>
        <v>2.3410018468594345</v>
      </c>
      <c r="L311">
        <f t="shared" si="29"/>
        <v>5.718573961489767</v>
      </c>
    </row>
    <row r="312" spans="1:12" x14ac:dyDescent="0.25">
      <c r="A312" s="1">
        <v>44179</v>
      </c>
      <c r="B312">
        <v>202</v>
      </c>
      <c r="C312">
        <v>2.3053513694466239</v>
      </c>
      <c r="D312">
        <v>1</v>
      </c>
      <c r="E312">
        <v>311</v>
      </c>
      <c r="F312">
        <f t="shared" si="24"/>
        <v>-0.12053668025532573</v>
      </c>
      <c r="G312">
        <f t="shared" si="25"/>
        <v>0.99270887409805364</v>
      </c>
      <c r="H312">
        <f t="shared" si="26"/>
        <v>2.248286134941861</v>
      </c>
      <c r="I312">
        <f>C312-H312</f>
        <v>5.7065234504762863E-2</v>
      </c>
      <c r="J312" t="str">
        <f t="shared" si="27"/>
        <v/>
      </c>
      <c r="K312">
        <f t="shared" si="28"/>
        <v>2.3458429566400998</v>
      </c>
      <c r="L312">
        <f t="shared" si="29"/>
        <v>0</v>
      </c>
    </row>
    <row r="313" spans="1:12" x14ac:dyDescent="0.25">
      <c r="A313" s="1">
        <v>44186</v>
      </c>
      <c r="B313">
        <v>190</v>
      </c>
      <c r="C313">
        <v>2.2787536009528289</v>
      </c>
      <c r="D313">
        <v>1</v>
      </c>
      <c r="E313">
        <v>312</v>
      </c>
      <c r="F313">
        <f t="shared" si="24"/>
        <v>-1.470178145890344E-15</v>
      </c>
      <c r="G313">
        <f t="shared" si="25"/>
        <v>1</v>
      </c>
      <c r="H313">
        <f t="shared" si="26"/>
        <v>2.2528811159540325</v>
      </c>
      <c r="I313">
        <f>C313-H313</f>
        <v>2.5872484998796352E-2</v>
      </c>
      <c r="J313" t="str">
        <f t="shared" si="27"/>
        <v/>
      </c>
      <c r="K313">
        <f t="shared" si="28"/>
        <v>2.3504379376522713</v>
      </c>
      <c r="L313">
        <f t="shared" si="29"/>
        <v>0</v>
      </c>
    </row>
    <row r="314" spans="1:12" x14ac:dyDescent="0.25">
      <c r="A314" s="1">
        <v>44193</v>
      </c>
      <c r="B314">
        <v>188</v>
      </c>
      <c r="C314">
        <v>2.27415784926368</v>
      </c>
      <c r="D314">
        <v>1</v>
      </c>
      <c r="E314">
        <v>313</v>
      </c>
      <c r="F314">
        <f t="shared" si="24"/>
        <v>0.12053668025532281</v>
      </c>
      <c r="G314">
        <f t="shared" si="25"/>
        <v>0.99270887409805397</v>
      </c>
      <c r="H314">
        <f t="shared" si="26"/>
        <v>2.2571629630275569</v>
      </c>
      <c r="I314">
        <f>C314-H314</f>
        <v>1.6994886236123108E-2</v>
      </c>
      <c r="J314" t="str">
        <f t="shared" si="27"/>
        <v/>
      </c>
      <c r="K314">
        <f t="shared" si="28"/>
        <v>2.3547197847257957</v>
      </c>
      <c r="L314">
        <f t="shared" si="29"/>
        <v>0</v>
      </c>
    </row>
    <row r="315" spans="1:12" x14ac:dyDescent="0.25">
      <c r="A315" s="1">
        <v>44200</v>
      </c>
      <c r="B315">
        <v>175</v>
      </c>
      <c r="C315">
        <v>2.2430380486862944</v>
      </c>
      <c r="D315">
        <v>0</v>
      </c>
      <c r="E315">
        <v>314</v>
      </c>
      <c r="F315">
        <f t="shared" si="24"/>
        <v>0.23931566428755183</v>
      </c>
      <c r="G315">
        <f t="shared" si="25"/>
        <v>0.97094181742605346</v>
      </c>
      <c r="H315">
        <f t="shared" si="26"/>
        <v>2.2610692371902212</v>
      </c>
      <c r="I315">
        <f>C315-H315</f>
        <v>-1.803118850392682E-2</v>
      </c>
      <c r="J315">
        <f t="shared" si="27"/>
        <v>-1.803118850392682E-2</v>
      </c>
      <c r="K315">
        <f t="shared" si="28"/>
        <v>2.35862605888846</v>
      </c>
      <c r="L315">
        <f t="shared" si="29"/>
        <v>0</v>
      </c>
    </row>
    <row r="316" spans="1:12" x14ac:dyDescent="0.25">
      <c r="A316" s="1">
        <v>44207</v>
      </c>
      <c r="B316">
        <v>154</v>
      </c>
      <c r="C316">
        <v>2.1875207208364631</v>
      </c>
      <c r="D316">
        <v>0</v>
      </c>
      <c r="E316">
        <v>315</v>
      </c>
      <c r="F316">
        <f t="shared" si="24"/>
        <v>0.35460488704253768</v>
      </c>
      <c r="G316">
        <f t="shared" si="25"/>
        <v>0.93501624268541406</v>
      </c>
      <c r="H316">
        <f t="shared" si="26"/>
        <v>2.2645429761685723</v>
      </c>
      <c r="I316">
        <f>C316-H316</f>
        <v>-7.7022255332109157E-2</v>
      </c>
      <c r="J316">
        <f t="shared" si="27"/>
        <v>-7.7022255332109157E-2</v>
      </c>
      <c r="K316">
        <f t="shared" si="28"/>
        <v>2.362099797866811</v>
      </c>
      <c r="L316">
        <f t="shared" si="29"/>
        <v>0</v>
      </c>
    </row>
    <row r="317" spans="1:12" x14ac:dyDescent="0.25">
      <c r="A317" s="1">
        <v>44214</v>
      </c>
      <c r="B317">
        <v>168</v>
      </c>
      <c r="C317">
        <v>2.2253092817258628</v>
      </c>
      <c r="D317">
        <v>0</v>
      </c>
      <c r="E317">
        <v>316</v>
      </c>
      <c r="F317">
        <f t="shared" si="24"/>
        <v>0.46472317204377156</v>
      </c>
      <c r="G317">
        <f t="shared" si="25"/>
        <v>0.88545602565320836</v>
      </c>
      <c r="H317">
        <f t="shared" si="26"/>
        <v>2.2675335250261255</v>
      </c>
      <c r="I317">
        <f>C317-H317</f>
        <v>-4.2224243300262643E-2</v>
      </c>
      <c r="J317">
        <f t="shared" si="27"/>
        <v>-4.2224243300262643E-2</v>
      </c>
      <c r="K317">
        <f t="shared" si="28"/>
        <v>2.3650903467243642</v>
      </c>
      <c r="L317">
        <f t="shared" si="29"/>
        <v>0</v>
      </c>
    </row>
    <row r="318" spans="1:12" x14ac:dyDescent="0.25">
      <c r="A318" s="1">
        <v>44221</v>
      </c>
      <c r="B318">
        <v>192</v>
      </c>
      <c r="C318">
        <v>2.2833012287035497</v>
      </c>
      <c r="D318">
        <v>0</v>
      </c>
      <c r="E318">
        <v>317</v>
      </c>
      <c r="F318">
        <f t="shared" si="24"/>
        <v>0.56806474673115381</v>
      </c>
      <c r="G318">
        <f t="shared" si="25"/>
        <v>0.8229838658936578</v>
      </c>
      <c r="H318">
        <f t="shared" si="26"/>
        <v>2.2699972748264079</v>
      </c>
      <c r="I318">
        <f>C318-H318</f>
        <v>1.3303953877141783E-2</v>
      </c>
      <c r="J318">
        <f t="shared" si="27"/>
        <v>1.3303953877141783E-2</v>
      </c>
      <c r="K318">
        <f t="shared" si="28"/>
        <v>2.3675540965246467</v>
      </c>
      <c r="L318">
        <f t="shared" si="29"/>
        <v>0</v>
      </c>
    </row>
    <row r="319" spans="1:12" x14ac:dyDescent="0.25">
      <c r="A319" s="1">
        <v>44228</v>
      </c>
      <c r="B319">
        <v>169</v>
      </c>
      <c r="C319">
        <v>2.2278867046136734</v>
      </c>
      <c r="D319">
        <v>0</v>
      </c>
      <c r="E319">
        <v>318</v>
      </c>
      <c r="F319">
        <f t="shared" si="24"/>
        <v>0.6631226582407943</v>
      </c>
      <c r="G319">
        <f t="shared" si="25"/>
        <v>0.74851074817110186</v>
      </c>
      <c r="H319">
        <f t="shared" si="26"/>
        <v>2.2718982985494516</v>
      </c>
      <c r="I319">
        <f>C319-H319</f>
        <v>-4.4011593935778137E-2</v>
      </c>
      <c r="J319">
        <f t="shared" si="27"/>
        <v>-4.4011593935778137E-2</v>
      </c>
      <c r="K319">
        <f t="shared" si="28"/>
        <v>2.3694551202476903</v>
      </c>
      <c r="L319">
        <f t="shared" si="29"/>
        <v>0</v>
      </c>
    </row>
    <row r="320" spans="1:12" x14ac:dyDescent="0.25">
      <c r="A320" s="1">
        <v>44235</v>
      </c>
      <c r="B320">
        <v>171</v>
      </c>
      <c r="C320">
        <v>2.2329961103921536</v>
      </c>
      <c r="D320">
        <v>0</v>
      </c>
      <c r="E320">
        <v>319</v>
      </c>
      <c r="F320">
        <f t="shared" si="24"/>
        <v>0.74851074817110108</v>
      </c>
      <c r="G320">
        <f t="shared" si="25"/>
        <v>0.66312265824079519</v>
      </c>
      <c r="H320">
        <f t="shared" si="26"/>
        <v>2.2732088749886397</v>
      </c>
      <c r="I320">
        <f>C320-H320</f>
        <v>-4.0212764596486039E-2</v>
      </c>
      <c r="J320">
        <f t="shared" si="27"/>
        <v>-4.0212764596486039E-2</v>
      </c>
      <c r="K320">
        <f t="shared" si="28"/>
        <v>2.3707656966868784</v>
      </c>
      <c r="L320">
        <f t="shared" si="29"/>
        <v>0</v>
      </c>
    </row>
    <row r="321" spans="1:12" x14ac:dyDescent="0.25">
      <c r="A321" s="1">
        <v>44242</v>
      </c>
      <c r="B321">
        <v>165</v>
      </c>
      <c r="C321">
        <v>2.2174839442139063</v>
      </c>
      <c r="D321">
        <v>0</v>
      </c>
      <c r="E321">
        <v>320</v>
      </c>
      <c r="F321">
        <f t="shared" si="24"/>
        <v>0.82298386589365713</v>
      </c>
      <c r="G321">
        <f t="shared" si="25"/>
        <v>0.56806474673115481</v>
      </c>
      <c r="H321">
        <f t="shared" si="26"/>
        <v>2.2739098929883301</v>
      </c>
      <c r="I321">
        <f>C321-H321</f>
        <v>-5.6425948774423862E-2</v>
      </c>
      <c r="J321">
        <f t="shared" si="27"/>
        <v>-5.6425948774423862E-2</v>
      </c>
      <c r="K321">
        <f t="shared" si="28"/>
        <v>2.3714667146865689</v>
      </c>
      <c r="L321">
        <f t="shared" si="29"/>
        <v>0</v>
      </c>
    </row>
    <row r="322" spans="1:12" x14ac:dyDescent="0.25">
      <c r="A322" s="1">
        <v>44249</v>
      </c>
      <c r="B322">
        <v>161</v>
      </c>
      <c r="C322">
        <v>2.2068258760318495</v>
      </c>
      <c r="D322">
        <v>0</v>
      </c>
      <c r="E322">
        <v>321</v>
      </c>
      <c r="F322">
        <f t="shared" si="24"/>
        <v>0.88545602565320769</v>
      </c>
      <c r="G322">
        <f t="shared" si="25"/>
        <v>0.46472317204377267</v>
      </c>
      <c r="H322">
        <f t="shared" si="26"/>
        <v>2.2739911301275306</v>
      </c>
      <c r="I322">
        <f>C322-H322</f>
        <v>-6.7165254095681082E-2</v>
      </c>
      <c r="J322">
        <f t="shared" si="27"/>
        <v>-6.7165254095681082E-2</v>
      </c>
      <c r="K322">
        <f t="shared" si="28"/>
        <v>2.3715479518257694</v>
      </c>
      <c r="L322">
        <f t="shared" si="29"/>
        <v>0</v>
      </c>
    </row>
    <row r="323" spans="1:12" x14ac:dyDescent="0.25">
      <c r="A323" s="1">
        <v>44256</v>
      </c>
      <c r="B323">
        <v>178</v>
      </c>
      <c r="C323">
        <v>2.2504200023088941</v>
      </c>
      <c r="D323">
        <v>0</v>
      </c>
      <c r="E323">
        <v>322</v>
      </c>
      <c r="F323">
        <f t="shared" ref="F323:F386" si="30">SIN(2*PI()*E323/52)</f>
        <v>0.93501624268541361</v>
      </c>
      <c r="G323">
        <f t="shared" ref="G323:G386" si="31">COS(2*PI()*E323/52)</f>
        <v>0.35460488704253884</v>
      </c>
      <c r="H323">
        <f t="shared" ref="H323:H386" si="32">$P$2+$N$2*F323+$O$2*G323</f>
        <v>2.2734514017858221</v>
      </c>
      <c r="I323">
        <f>C323-H323</f>
        <v>-2.3031399476928005E-2</v>
      </c>
      <c r="J323">
        <f t="shared" ref="J323:J386" si="33">IF(D323,"",I323)</f>
        <v>-2.3031399476928005E-2</v>
      </c>
      <c r="K323">
        <f t="shared" ref="K323:K386" si="34">H323+$S$2</f>
        <v>2.3710082234840608</v>
      </c>
      <c r="L323">
        <f t="shared" ref="L323:L386" si="35">IF(C323-K323&gt;0,10^C323-10^K323,0)</f>
        <v>0</v>
      </c>
    </row>
    <row r="324" spans="1:12" x14ac:dyDescent="0.25">
      <c r="A324" s="1">
        <v>44263</v>
      </c>
      <c r="B324">
        <v>166</v>
      </c>
      <c r="C324">
        <v>2.220108088040055</v>
      </c>
      <c r="D324">
        <v>0</v>
      </c>
      <c r="E324">
        <v>323</v>
      </c>
      <c r="F324">
        <f t="shared" si="30"/>
        <v>0.97094181742605146</v>
      </c>
      <c r="G324">
        <f t="shared" si="31"/>
        <v>0.2393156642875599</v>
      </c>
      <c r="H324">
        <f t="shared" si="32"/>
        <v>2.2722985784177894</v>
      </c>
      <c r="I324">
        <f>C324-H324</f>
        <v>-5.2190490377734378E-2</v>
      </c>
      <c r="J324">
        <f t="shared" si="33"/>
        <v>-5.2190490377734378E-2</v>
      </c>
      <c r="K324">
        <f t="shared" si="34"/>
        <v>2.3698554001160281</v>
      </c>
      <c r="L324">
        <f t="shared" si="35"/>
        <v>0</v>
      </c>
    </row>
    <row r="325" spans="1:12" x14ac:dyDescent="0.25">
      <c r="A325" s="1">
        <v>44270</v>
      </c>
      <c r="B325">
        <v>174</v>
      </c>
      <c r="C325">
        <v>2.2405492482825999</v>
      </c>
      <c r="D325">
        <v>0</v>
      </c>
      <c r="E325">
        <v>324</v>
      </c>
      <c r="F325">
        <f t="shared" si="30"/>
        <v>0.99270887409805386</v>
      </c>
      <c r="G325">
        <f t="shared" si="31"/>
        <v>0.12053668025532403</v>
      </c>
      <c r="H325">
        <f t="shared" si="32"/>
        <v>2.2705494707840699</v>
      </c>
      <c r="I325">
        <f>C325-H325</f>
        <v>-3.0000222501469942E-2</v>
      </c>
      <c r="J325">
        <f t="shared" si="33"/>
        <v>-3.0000222501469942E-2</v>
      </c>
      <c r="K325">
        <f t="shared" si="34"/>
        <v>2.3681062924823086</v>
      </c>
      <c r="L325">
        <f t="shared" si="35"/>
        <v>0</v>
      </c>
    </row>
    <row r="326" spans="1:12" x14ac:dyDescent="0.25">
      <c r="A326" s="1">
        <v>44277</v>
      </c>
      <c r="B326">
        <v>155</v>
      </c>
      <c r="C326">
        <v>2.1903316981702914</v>
      </c>
      <c r="D326">
        <v>0</v>
      </c>
      <c r="E326">
        <v>325</v>
      </c>
      <c r="F326">
        <f t="shared" si="30"/>
        <v>1</v>
      </c>
      <c r="G326">
        <f t="shared" si="31"/>
        <v>6.8605060868365264E-15</v>
      </c>
      <c r="H326">
        <f t="shared" si="32"/>
        <v>2.2682295848126106</v>
      </c>
      <c r="I326">
        <f>C326-H326</f>
        <v>-7.7897886642319225E-2</v>
      </c>
      <c r="J326">
        <f t="shared" si="33"/>
        <v>-7.7897886642319225E-2</v>
      </c>
      <c r="K326">
        <f t="shared" si="34"/>
        <v>2.3657864065108494</v>
      </c>
      <c r="L326">
        <f t="shared" si="35"/>
        <v>0</v>
      </c>
    </row>
    <row r="327" spans="1:12" x14ac:dyDescent="0.25">
      <c r="A327" s="1">
        <v>44284</v>
      </c>
      <c r="B327">
        <v>189</v>
      </c>
      <c r="C327">
        <v>2.2764618041732443</v>
      </c>
      <c r="D327">
        <v>0</v>
      </c>
      <c r="E327">
        <v>326</v>
      </c>
      <c r="F327">
        <f t="shared" si="30"/>
        <v>0.99270887409805464</v>
      </c>
      <c r="G327">
        <f t="shared" si="31"/>
        <v>-0.12053668025531745</v>
      </c>
      <c r="H327">
        <f t="shared" si="32"/>
        <v>2.2653727496648046</v>
      </c>
      <c r="I327">
        <f>C327-H327</f>
        <v>1.1089054508439666E-2</v>
      </c>
      <c r="J327">
        <f t="shared" si="33"/>
        <v>1.1089054508439666E-2</v>
      </c>
      <c r="K327">
        <f t="shared" si="34"/>
        <v>2.3629295713630434</v>
      </c>
      <c r="L327">
        <f t="shared" si="35"/>
        <v>0</v>
      </c>
    </row>
    <row r="328" spans="1:12" x14ac:dyDescent="0.25">
      <c r="A328" s="1">
        <v>44291</v>
      </c>
      <c r="B328">
        <v>184</v>
      </c>
      <c r="C328">
        <v>2.2648178230095364</v>
      </c>
      <c r="D328">
        <v>0</v>
      </c>
      <c r="E328">
        <v>327</v>
      </c>
      <c r="F328">
        <f t="shared" si="30"/>
        <v>0.97094181742605135</v>
      </c>
      <c r="G328">
        <f t="shared" si="31"/>
        <v>-0.23931566428756038</v>
      </c>
      <c r="H328">
        <f t="shared" si="32"/>
        <v>2.2620206244301384</v>
      </c>
      <c r="I328">
        <f>C328-H328</f>
        <v>2.7971985793979748E-3</v>
      </c>
      <c r="J328">
        <f t="shared" si="33"/>
        <v>2.7971985793979748E-3</v>
      </c>
      <c r="K328">
        <f t="shared" si="34"/>
        <v>2.3595774461283772</v>
      </c>
      <c r="L328">
        <f t="shared" si="35"/>
        <v>0</v>
      </c>
    </row>
    <row r="329" spans="1:12" x14ac:dyDescent="0.25">
      <c r="A329" s="1">
        <v>44298</v>
      </c>
      <c r="B329">
        <v>188</v>
      </c>
      <c r="C329">
        <v>2.27415784926368</v>
      </c>
      <c r="D329">
        <v>0</v>
      </c>
      <c r="E329">
        <v>328</v>
      </c>
      <c r="F329">
        <f t="shared" si="30"/>
        <v>0.93501624268541594</v>
      </c>
      <c r="G329">
        <f t="shared" si="31"/>
        <v>-0.35460488704253262</v>
      </c>
      <c r="H329">
        <f t="shared" si="32"/>
        <v>2.2582220906428629</v>
      </c>
      <c r="I329">
        <f>C329-H329</f>
        <v>1.5935758620817086E-2</v>
      </c>
      <c r="J329">
        <f t="shared" si="33"/>
        <v>1.5935758620817086E-2</v>
      </c>
      <c r="K329">
        <f t="shared" si="34"/>
        <v>2.3557789123411017</v>
      </c>
      <c r="L329">
        <f t="shared" si="35"/>
        <v>0</v>
      </c>
    </row>
    <row r="330" spans="1:12" x14ac:dyDescent="0.25">
      <c r="A330" s="1">
        <v>44305</v>
      </c>
      <c r="B330">
        <v>172</v>
      </c>
      <c r="C330">
        <v>2.2355284469075487</v>
      </c>
      <c r="D330">
        <v>0</v>
      </c>
      <c r="E330">
        <v>329</v>
      </c>
      <c r="F330">
        <f t="shared" si="30"/>
        <v>0.8854560256532108</v>
      </c>
      <c r="G330">
        <f t="shared" si="31"/>
        <v>-0.46472317204376679</v>
      </c>
      <c r="H330">
        <f t="shared" si="32"/>
        <v>2.2540325394791489</v>
      </c>
      <c r="I330">
        <f>C330-H330</f>
        <v>-1.8504092571600239E-2</v>
      </c>
      <c r="J330">
        <f t="shared" si="33"/>
        <v>-1.8504092571600239E-2</v>
      </c>
      <c r="K330">
        <f t="shared" si="34"/>
        <v>2.3515893611773877</v>
      </c>
      <c r="L330">
        <f t="shared" si="35"/>
        <v>0</v>
      </c>
    </row>
    <row r="331" spans="1:12" x14ac:dyDescent="0.25">
      <c r="A331" s="1">
        <v>44312</v>
      </c>
      <c r="B331">
        <v>185</v>
      </c>
      <c r="C331">
        <v>2.2671717284030137</v>
      </c>
      <c r="D331">
        <v>0</v>
      </c>
      <c r="E331">
        <v>330</v>
      </c>
      <c r="F331">
        <f t="shared" si="30"/>
        <v>0.82298386589366079</v>
      </c>
      <c r="G331">
        <f t="shared" si="31"/>
        <v>-0.56806474673114937</v>
      </c>
      <c r="H331">
        <f t="shared" si="32"/>
        <v>2.2495130640290117</v>
      </c>
      <c r="I331">
        <f>C331-H331</f>
        <v>1.7658664374001987E-2</v>
      </c>
      <c r="J331">
        <f t="shared" si="33"/>
        <v>1.7658664374001987E-2</v>
      </c>
      <c r="K331">
        <f t="shared" si="34"/>
        <v>2.3470698857272505</v>
      </c>
      <c r="L331">
        <f t="shared" si="35"/>
        <v>0</v>
      </c>
    </row>
    <row r="332" spans="1:12" x14ac:dyDescent="0.25">
      <c r="A332" s="1">
        <v>44319</v>
      </c>
      <c r="B332">
        <v>223</v>
      </c>
      <c r="C332">
        <v>2.3483048630481607</v>
      </c>
      <c r="D332">
        <v>0</v>
      </c>
      <c r="E332">
        <v>331</v>
      </c>
      <c r="F332">
        <f t="shared" si="30"/>
        <v>0.74851074817110075</v>
      </c>
      <c r="G332">
        <f t="shared" si="31"/>
        <v>-0.66312265824079553</v>
      </c>
      <c r="H332">
        <f t="shared" si="32"/>
        <v>2.2447295684214859</v>
      </c>
      <c r="I332">
        <f>C332-H332</f>
        <v>0.10357529462667481</v>
      </c>
      <c r="J332">
        <f t="shared" si="33"/>
        <v>0.10357529462667481</v>
      </c>
      <c r="K332">
        <f t="shared" si="34"/>
        <v>2.3422863901197246</v>
      </c>
      <c r="L332">
        <f t="shared" si="35"/>
        <v>3.0690297747055695</v>
      </c>
    </row>
    <row r="333" spans="1:12" x14ac:dyDescent="0.25">
      <c r="A333" s="1">
        <v>44326</v>
      </c>
      <c r="B333">
        <v>150</v>
      </c>
      <c r="C333">
        <v>2.1760912590556813</v>
      </c>
      <c r="D333">
        <v>0</v>
      </c>
      <c r="E333">
        <v>332</v>
      </c>
      <c r="F333">
        <f t="shared" si="30"/>
        <v>0.66312265824079397</v>
      </c>
      <c r="G333">
        <f t="shared" si="31"/>
        <v>-0.74851074817110219</v>
      </c>
      <c r="H333">
        <f t="shared" si="32"/>
        <v>2.2397518067940241</v>
      </c>
      <c r="I333">
        <f>C333-H333</f>
        <v>-6.3660547738342732E-2</v>
      </c>
      <c r="J333">
        <f t="shared" si="33"/>
        <v>-6.3660547738342732E-2</v>
      </c>
      <c r="K333">
        <f t="shared" si="34"/>
        <v>2.3373086284922628</v>
      </c>
      <c r="L333">
        <f t="shared" si="35"/>
        <v>0</v>
      </c>
    </row>
    <row r="334" spans="1:12" x14ac:dyDescent="0.25">
      <c r="A334" s="1">
        <v>44333</v>
      </c>
      <c r="B334">
        <v>159</v>
      </c>
      <c r="C334">
        <v>2.2013971243204513</v>
      </c>
      <c r="D334">
        <v>0</v>
      </c>
      <c r="E334">
        <v>333</v>
      </c>
      <c r="F334">
        <f t="shared" si="30"/>
        <v>0.56806474673115925</v>
      </c>
      <c r="G334">
        <f t="shared" si="31"/>
        <v>-0.82298386589365402</v>
      </c>
      <c r="H334">
        <f t="shared" si="32"/>
        <v>2.2346523661200974</v>
      </c>
      <c r="I334">
        <f>C334-H334</f>
        <v>-3.3255241799646118E-2</v>
      </c>
      <c r="J334">
        <f t="shared" si="33"/>
        <v>-3.3255241799646118E-2</v>
      </c>
      <c r="K334">
        <f t="shared" si="34"/>
        <v>2.3322091878183362</v>
      </c>
      <c r="L334">
        <f t="shared" si="35"/>
        <v>0</v>
      </c>
    </row>
    <row r="335" spans="1:12" x14ac:dyDescent="0.25">
      <c r="A335" s="1">
        <v>44340</v>
      </c>
      <c r="B335">
        <v>163</v>
      </c>
      <c r="C335">
        <v>2.2121876044039577</v>
      </c>
      <c r="D335">
        <v>0</v>
      </c>
      <c r="E335">
        <v>334</v>
      </c>
      <c r="F335">
        <f t="shared" si="30"/>
        <v>0.46472317204376484</v>
      </c>
      <c r="G335">
        <f t="shared" si="31"/>
        <v>-0.8854560256532118</v>
      </c>
      <c r="H335">
        <f t="shared" si="32"/>
        <v>2.2295056077276714</v>
      </c>
      <c r="I335">
        <f>C335-H335</f>
        <v>-1.7318003323713693E-2</v>
      </c>
      <c r="J335">
        <f t="shared" si="33"/>
        <v>-1.7318003323713693E-2</v>
      </c>
      <c r="K335">
        <f t="shared" si="34"/>
        <v>2.3270624294259101</v>
      </c>
      <c r="L335">
        <f t="shared" si="35"/>
        <v>0</v>
      </c>
    </row>
    <row r="336" spans="1:12" x14ac:dyDescent="0.25">
      <c r="A336" s="1">
        <v>44347</v>
      </c>
      <c r="B336">
        <v>165</v>
      </c>
      <c r="C336">
        <v>2.2174839442139063</v>
      </c>
      <c r="D336">
        <v>0</v>
      </c>
      <c r="E336">
        <v>335</v>
      </c>
      <c r="F336">
        <f t="shared" si="30"/>
        <v>0.35460488704253723</v>
      </c>
      <c r="G336">
        <f t="shared" si="31"/>
        <v>-0.93501624268541417</v>
      </c>
      <c r="H336">
        <f t="shared" si="32"/>
        <v>2.2243865829436</v>
      </c>
      <c r="I336">
        <f>C336-H336</f>
        <v>-6.9026387296937664E-3</v>
      </c>
      <c r="J336">
        <f t="shared" si="33"/>
        <v>-6.9026387296937664E-3</v>
      </c>
      <c r="K336">
        <f t="shared" si="34"/>
        <v>2.3219434046418388</v>
      </c>
      <c r="L336">
        <f t="shared" si="35"/>
        <v>0</v>
      </c>
    </row>
    <row r="337" spans="1:12" x14ac:dyDescent="0.25">
      <c r="A337" s="1">
        <v>44354</v>
      </c>
      <c r="B337">
        <v>149</v>
      </c>
      <c r="C337">
        <v>2.173186268412274</v>
      </c>
      <c r="D337">
        <v>0</v>
      </c>
      <c r="E337">
        <v>336</v>
      </c>
      <c r="F337">
        <f t="shared" si="30"/>
        <v>0.23931566428755824</v>
      </c>
      <c r="G337">
        <f t="shared" si="31"/>
        <v>-0.9709418174260519</v>
      </c>
      <c r="H337">
        <f t="shared" si="32"/>
        <v>2.2193699386762726</v>
      </c>
      <c r="I337">
        <f>C337-H337</f>
        <v>-4.6183670263998611E-2</v>
      </c>
      <c r="J337">
        <f t="shared" si="33"/>
        <v>-4.6183670263998611E-2</v>
      </c>
      <c r="K337">
        <f t="shared" si="34"/>
        <v>2.3169267603745114</v>
      </c>
      <c r="L337">
        <f t="shared" si="35"/>
        <v>0</v>
      </c>
    </row>
    <row r="338" spans="1:12" x14ac:dyDescent="0.25">
      <c r="A338" s="1">
        <v>44361</v>
      </c>
      <c r="B338">
        <v>175</v>
      </c>
      <c r="C338">
        <v>2.2430380486862944</v>
      </c>
      <c r="D338">
        <v>0</v>
      </c>
      <c r="E338">
        <v>337</v>
      </c>
      <c r="F338">
        <f t="shared" si="30"/>
        <v>0.12053668025532938</v>
      </c>
      <c r="G338">
        <f t="shared" si="31"/>
        <v>-0.9927088740980532</v>
      </c>
      <c r="H338">
        <f t="shared" si="32"/>
        <v>2.2145288288956073</v>
      </c>
      <c r="I338">
        <f>C338-H338</f>
        <v>2.8509219790687101E-2</v>
      </c>
      <c r="J338">
        <f t="shared" si="33"/>
        <v>2.8509219790687101E-2</v>
      </c>
      <c r="K338">
        <f t="shared" si="34"/>
        <v>2.3120856505938461</v>
      </c>
      <c r="L338">
        <f t="shared" si="35"/>
        <v>0</v>
      </c>
    </row>
    <row r="339" spans="1:12" x14ac:dyDescent="0.25">
      <c r="A339" s="1">
        <v>44368</v>
      </c>
      <c r="B339">
        <v>144</v>
      </c>
      <c r="C339">
        <v>2.1583624920952498</v>
      </c>
      <c r="D339">
        <v>0</v>
      </c>
      <c r="E339">
        <v>338</v>
      </c>
      <c r="F339">
        <f t="shared" si="30"/>
        <v>-1.9600206874192949E-15</v>
      </c>
      <c r="G339">
        <f t="shared" si="31"/>
        <v>-1</v>
      </c>
      <c r="H339">
        <f t="shared" si="32"/>
        <v>2.2099338478834358</v>
      </c>
      <c r="I339">
        <f>C339-H339</f>
        <v>-5.1571355788186057E-2</v>
      </c>
      <c r="J339">
        <f t="shared" si="33"/>
        <v>-5.1571355788186057E-2</v>
      </c>
      <c r="K339">
        <f t="shared" si="34"/>
        <v>2.3074906695816746</v>
      </c>
      <c r="L339">
        <f t="shared" si="35"/>
        <v>0</v>
      </c>
    </row>
    <row r="340" spans="1:12" x14ac:dyDescent="0.25">
      <c r="A340" s="1">
        <v>44375</v>
      </c>
      <c r="B340">
        <v>153</v>
      </c>
      <c r="C340">
        <v>2.1846914308175989</v>
      </c>
      <c r="D340">
        <v>0</v>
      </c>
      <c r="E340">
        <v>339</v>
      </c>
      <c r="F340">
        <f t="shared" si="30"/>
        <v>-0.12053668025531916</v>
      </c>
      <c r="G340">
        <f t="shared" si="31"/>
        <v>-0.99270887409805442</v>
      </c>
      <c r="H340">
        <f t="shared" si="32"/>
        <v>2.2056520008099119</v>
      </c>
      <c r="I340">
        <f>C340-H340</f>
        <v>-2.0960569992312994E-2</v>
      </c>
      <c r="J340">
        <f t="shared" si="33"/>
        <v>-2.0960569992312994E-2</v>
      </c>
      <c r="K340">
        <f t="shared" si="34"/>
        <v>2.3032088225081506</v>
      </c>
      <c r="L340">
        <f t="shared" si="35"/>
        <v>0</v>
      </c>
    </row>
    <row r="341" spans="1:12" x14ac:dyDescent="0.25">
      <c r="A341" s="1">
        <v>44382</v>
      </c>
      <c r="B341">
        <v>134</v>
      </c>
      <c r="C341">
        <v>2.1271047983648077</v>
      </c>
      <c r="D341">
        <v>0</v>
      </c>
      <c r="E341">
        <v>340</v>
      </c>
      <c r="F341">
        <f t="shared" si="30"/>
        <v>-0.23931566428755516</v>
      </c>
      <c r="G341">
        <f t="shared" si="31"/>
        <v>-0.97094181742605268</v>
      </c>
      <c r="H341">
        <f t="shared" si="32"/>
        <v>2.2017457266472467</v>
      </c>
      <c r="I341">
        <f>C341-H341</f>
        <v>-7.4640928282438956E-2</v>
      </c>
      <c r="J341">
        <f t="shared" si="33"/>
        <v>-7.4640928282438956E-2</v>
      </c>
      <c r="K341">
        <f t="shared" si="34"/>
        <v>2.2993025483454854</v>
      </c>
      <c r="L341">
        <f t="shared" si="35"/>
        <v>0</v>
      </c>
    </row>
    <row r="342" spans="1:12" x14ac:dyDescent="0.25">
      <c r="A342" s="1">
        <v>44389</v>
      </c>
      <c r="B342">
        <v>137</v>
      </c>
      <c r="C342">
        <v>2.1367205671564067</v>
      </c>
      <c r="D342">
        <v>0</v>
      </c>
      <c r="E342">
        <v>341</v>
      </c>
      <c r="F342">
        <f t="shared" si="30"/>
        <v>-0.35460488704252763</v>
      </c>
      <c r="G342">
        <f t="shared" si="31"/>
        <v>-0.93501624268541783</v>
      </c>
      <c r="H342">
        <f t="shared" si="32"/>
        <v>2.1982719876688965</v>
      </c>
      <c r="I342">
        <f>C342-H342</f>
        <v>-6.1551420512489852E-2</v>
      </c>
      <c r="J342">
        <f t="shared" si="33"/>
        <v>-6.1551420512489852E-2</v>
      </c>
      <c r="K342">
        <f t="shared" si="34"/>
        <v>2.2958288093671353</v>
      </c>
      <c r="L342">
        <f t="shared" si="35"/>
        <v>0</v>
      </c>
    </row>
    <row r="343" spans="1:12" x14ac:dyDescent="0.25">
      <c r="A343" s="1">
        <v>44396</v>
      </c>
      <c r="B343">
        <v>155</v>
      </c>
      <c r="C343">
        <v>2.1903316981702914</v>
      </c>
      <c r="D343">
        <v>0</v>
      </c>
      <c r="E343">
        <v>342</v>
      </c>
      <c r="F343">
        <f t="shared" si="30"/>
        <v>-0.46472317204376834</v>
      </c>
      <c r="G343">
        <f t="shared" si="31"/>
        <v>-0.88545602565321002</v>
      </c>
      <c r="H343">
        <f t="shared" si="32"/>
        <v>2.1952814388113429</v>
      </c>
      <c r="I343">
        <f>C343-H343</f>
        <v>-4.9497406410514699E-3</v>
      </c>
      <c r="J343">
        <f t="shared" si="33"/>
        <v>-4.9497406410514699E-3</v>
      </c>
      <c r="K343">
        <f t="shared" si="34"/>
        <v>2.2928382605095816</v>
      </c>
      <c r="L343">
        <f t="shared" si="35"/>
        <v>0</v>
      </c>
    </row>
    <row r="344" spans="1:12" x14ac:dyDescent="0.25">
      <c r="A344" s="1">
        <v>44403</v>
      </c>
      <c r="B344">
        <v>146</v>
      </c>
      <c r="C344">
        <v>2.1643528557844371</v>
      </c>
      <c r="D344">
        <v>0</v>
      </c>
      <c r="E344">
        <v>343</v>
      </c>
      <c r="F344">
        <f t="shared" si="30"/>
        <v>-0.56806474673115659</v>
      </c>
      <c r="G344">
        <f t="shared" si="31"/>
        <v>-0.8229838658936558</v>
      </c>
      <c r="H344">
        <f t="shared" si="32"/>
        <v>2.1928176890110604</v>
      </c>
      <c r="I344">
        <f>C344-H344</f>
        <v>-2.8464833226623298E-2</v>
      </c>
      <c r="J344">
        <f t="shared" si="33"/>
        <v>-2.8464833226623298E-2</v>
      </c>
      <c r="K344">
        <f t="shared" si="34"/>
        <v>2.2903745107092992</v>
      </c>
      <c r="L344">
        <f t="shared" si="35"/>
        <v>0</v>
      </c>
    </row>
    <row r="345" spans="1:12" x14ac:dyDescent="0.25">
      <c r="A345" s="1">
        <v>44410</v>
      </c>
      <c r="B345">
        <v>159</v>
      </c>
      <c r="C345">
        <v>2.2013971243204513</v>
      </c>
      <c r="D345">
        <v>0</v>
      </c>
      <c r="E345">
        <v>344</v>
      </c>
      <c r="F345">
        <f t="shared" si="30"/>
        <v>-0.66312265824079153</v>
      </c>
      <c r="G345">
        <f t="shared" si="31"/>
        <v>-0.7485107481711043</v>
      </c>
      <c r="H345">
        <f t="shared" si="32"/>
        <v>2.1909166652880172</v>
      </c>
      <c r="I345">
        <f>C345-H345</f>
        <v>1.0480459032434108E-2</v>
      </c>
      <c r="J345">
        <f t="shared" si="33"/>
        <v>1.0480459032434108E-2</v>
      </c>
      <c r="K345">
        <f t="shared" si="34"/>
        <v>2.288473486986256</v>
      </c>
      <c r="L345">
        <f t="shared" si="35"/>
        <v>0</v>
      </c>
    </row>
    <row r="346" spans="1:12" x14ac:dyDescent="0.25">
      <c r="A346" s="1">
        <v>44417</v>
      </c>
      <c r="B346">
        <v>157</v>
      </c>
      <c r="C346">
        <v>2.1958996524092336</v>
      </c>
      <c r="D346">
        <v>0</v>
      </c>
      <c r="E346">
        <v>345</v>
      </c>
      <c r="F346">
        <f t="shared" si="30"/>
        <v>-0.74851074817110341</v>
      </c>
      <c r="G346">
        <f t="shared" si="31"/>
        <v>-0.66312265824079264</v>
      </c>
      <c r="H346">
        <f t="shared" si="32"/>
        <v>2.1896060888488282</v>
      </c>
      <c r="I346">
        <f>C346-H346</f>
        <v>6.2935635604053353E-3</v>
      </c>
      <c r="J346">
        <f t="shared" si="33"/>
        <v>6.2935635604053353E-3</v>
      </c>
      <c r="K346">
        <f t="shared" si="34"/>
        <v>2.287162910547067</v>
      </c>
      <c r="L346">
        <f t="shared" si="35"/>
        <v>0</v>
      </c>
    </row>
    <row r="347" spans="1:12" x14ac:dyDescent="0.25">
      <c r="A347" s="1">
        <v>44424</v>
      </c>
      <c r="B347">
        <v>151</v>
      </c>
      <c r="C347">
        <v>2.1789769472931693</v>
      </c>
      <c r="D347">
        <v>0</v>
      </c>
      <c r="E347">
        <v>346</v>
      </c>
      <c r="F347">
        <f t="shared" si="30"/>
        <v>-0.82298386589365502</v>
      </c>
      <c r="G347">
        <f t="shared" si="31"/>
        <v>-0.56806474673115781</v>
      </c>
      <c r="H347">
        <f t="shared" si="32"/>
        <v>2.1889050708491387</v>
      </c>
      <c r="I347">
        <f>C347-H347</f>
        <v>-9.9281235559693926E-3</v>
      </c>
      <c r="J347">
        <f t="shared" si="33"/>
        <v>-9.9281235559693926E-3</v>
      </c>
      <c r="K347">
        <f t="shared" si="34"/>
        <v>2.2864618925473774</v>
      </c>
      <c r="L347">
        <f t="shared" si="35"/>
        <v>0</v>
      </c>
    </row>
    <row r="348" spans="1:12" x14ac:dyDescent="0.25">
      <c r="A348" s="1">
        <v>44431</v>
      </c>
      <c r="B348">
        <v>153</v>
      </c>
      <c r="C348">
        <v>2.1846914308175989</v>
      </c>
      <c r="D348">
        <v>0</v>
      </c>
      <c r="E348">
        <v>347</v>
      </c>
      <c r="F348">
        <f t="shared" si="30"/>
        <v>-0.88545602565320936</v>
      </c>
      <c r="G348">
        <f t="shared" si="31"/>
        <v>-0.46472317204376962</v>
      </c>
      <c r="H348">
        <f t="shared" si="32"/>
        <v>2.1888238337099377</v>
      </c>
      <c r="I348">
        <f>C348-H348</f>
        <v>-4.1324028923388489E-3</v>
      </c>
      <c r="J348">
        <f t="shared" si="33"/>
        <v>-4.1324028923388489E-3</v>
      </c>
      <c r="K348">
        <f t="shared" si="34"/>
        <v>2.2863806554081765</v>
      </c>
      <c r="L348">
        <f t="shared" si="35"/>
        <v>0</v>
      </c>
    </row>
    <row r="349" spans="1:12" x14ac:dyDescent="0.25">
      <c r="A349" s="1">
        <v>44438</v>
      </c>
      <c r="B349">
        <v>149</v>
      </c>
      <c r="C349">
        <v>2.173186268412274</v>
      </c>
      <c r="D349">
        <v>0</v>
      </c>
      <c r="E349">
        <v>348</v>
      </c>
      <c r="F349">
        <f t="shared" si="30"/>
        <v>-0.93501624268541228</v>
      </c>
      <c r="G349">
        <f t="shared" si="31"/>
        <v>-0.35460488704254228</v>
      </c>
      <c r="H349">
        <f t="shared" si="32"/>
        <v>2.1893635620516463</v>
      </c>
      <c r="I349">
        <f>C349-H349</f>
        <v>-1.6177293639372259E-2</v>
      </c>
      <c r="J349">
        <f t="shared" si="33"/>
        <v>-1.6177293639372259E-2</v>
      </c>
      <c r="K349">
        <f t="shared" si="34"/>
        <v>2.286920383749885</v>
      </c>
      <c r="L349">
        <f t="shared" si="35"/>
        <v>0</v>
      </c>
    </row>
    <row r="350" spans="1:12" x14ac:dyDescent="0.25">
      <c r="A350" s="1">
        <v>44445</v>
      </c>
      <c r="B350">
        <v>163</v>
      </c>
      <c r="C350">
        <v>2.2121876044039577</v>
      </c>
      <c r="D350">
        <v>0</v>
      </c>
      <c r="E350">
        <v>349</v>
      </c>
      <c r="F350">
        <f t="shared" si="30"/>
        <v>-0.97094181742605234</v>
      </c>
      <c r="G350">
        <f t="shared" si="31"/>
        <v>-0.23931566428755657</v>
      </c>
      <c r="H350">
        <f t="shared" si="32"/>
        <v>2.190516385419679</v>
      </c>
      <c r="I350">
        <f>C350-H350</f>
        <v>2.1671218984278706E-2</v>
      </c>
      <c r="J350">
        <f t="shared" si="33"/>
        <v>2.1671218984278706E-2</v>
      </c>
      <c r="K350">
        <f t="shared" si="34"/>
        <v>2.2880732071179177</v>
      </c>
      <c r="L350">
        <f t="shared" si="35"/>
        <v>0</v>
      </c>
    </row>
    <row r="351" spans="1:12" x14ac:dyDescent="0.25">
      <c r="A351" s="1">
        <v>44452</v>
      </c>
      <c r="B351">
        <v>157</v>
      </c>
      <c r="C351">
        <v>2.1958996524092336</v>
      </c>
      <c r="D351">
        <v>0</v>
      </c>
      <c r="E351">
        <v>350</v>
      </c>
      <c r="F351">
        <f t="shared" si="30"/>
        <v>-0.99270887409805342</v>
      </c>
      <c r="G351">
        <f t="shared" si="31"/>
        <v>-0.12053668025532767</v>
      </c>
      <c r="H351">
        <f t="shared" si="32"/>
        <v>2.1922654930533985</v>
      </c>
      <c r="I351">
        <f>C351-H351</f>
        <v>3.6341593558351093E-3</v>
      </c>
      <c r="J351">
        <f t="shared" si="33"/>
        <v>3.6341593558351093E-3</v>
      </c>
      <c r="K351">
        <f t="shared" si="34"/>
        <v>2.2898223147516372</v>
      </c>
      <c r="L351">
        <f t="shared" si="35"/>
        <v>0</v>
      </c>
    </row>
    <row r="352" spans="1:12" x14ac:dyDescent="0.25">
      <c r="A352" s="1">
        <v>44459</v>
      </c>
      <c r="B352">
        <v>150</v>
      </c>
      <c r="C352">
        <v>2.1760912590556813</v>
      </c>
      <c r="D352">
        <v>0</v>
      </c>
      <c r="E352">
        <v>351</v>
      </c>
      <c r="F352">
        <f t="shared" si="30"/>
        <v>-1</v>
      </c>
      <c r="G352">
        <f t="shared" si="31"/>
        <v>-3.4303072535268875E-15</v>
      </c>
      <c r="H352">
        <f t="shared" si="32"/>
        <v>2.1945853790248577</v>
      </c>
      <c r="I352">
        <f>C352-H352</f>
        <v>-1.8494119969176381E-2</v>
      </c>
      <c r="J352">
        <f t="shared" si="33"/>
        <v>-1.8494119969176381E-2</v>
      </c>
      <c r="K352">
        <f t="shared" si="34"/>
        <v>2.2921422007230965</v>
      </c>
      <c r="L352">
        <f t="shared" si="35"/>
        <v>0</v>
      </c>
    </row>
    <row r="353" spans="1:12" x14ac:dyDescent="0.25">
      <c r="A353" s="1">
        <v>44466</v>
      </c>
      <c r="B353">
        <v>165</v>
      </c>
      <c r="C353">
        <v>2.2174839442139063</v>
      </c>
      <c r="D353">
        <v>0</v>
      </c>
      <c r="E353">
        <v>352</v>
      </c>
      <c r="F353">
        <f t="shared" si="30"/>
        <v>-0.99270887409805508</v>
      </c>
      <c r="G353">
        <f t="shared" si="31"/>
        <v>0.12053668025531381</v>
      </c>
      <c r="H353">
        <f t="shared" si="32"/>
        <v>2.1974422141726633</v>
      </c>
      <c r="I353">
        <f>C353-H353</f>
        <v>2.0041730041242989E-2</v>
      </c>
      <c r="J353">
        <f t="shared" si="33"/>
        <v>2.0041730041242989E-2</v>
      </c>
      <c r="K353">
        <f t="shared" si="34"/>
        <v>2.294999035870902</v>
      </c>
      <c r="L353">
        <f t="shared" si="35"/>
        <v>0</v>
      </c>
    </row>
    <row r="354" spans="1:12" x14ac:dyDescent="0.25">
      <c r="A354" s="1">
        <v>44473</v>
      </c>
      <c r="B354">
        <v>171</v>
      </c>
      <c r="C354">
        <v>2.2329961103921536</v>
      </c>
      <c r="D354">
        <v>0</v>
      </c>
      <c r="E354">
        <v>353</v>
      </c>
      <c r="F354">
        <f t="shared" si="30"/>
        <v>-0.97094181742605223</v>
      </c>
      <c r="G354">
        <f t="shared" si="31"/>
        <v>0.23931566428755682</v>
      </c>
      <c r="H354">
        <f t="shared" si="32"/>
        <v>2.2007943394073299</v>
      </c>
      <c r="I354">
        <f>C354-H354</f>
        <v>3.2201770984823685E-2</v>
      </c>
      <c r="J354">
        <f t="shared" si="33"/>
        <v>3.2201770984823685E-2</v>
      </c>
      <c r="K354">
        <f t="shared" si="34"/>
        <v>2.2983511611055687</v>
      </c>
      <c r="L354">
        <f t="shared" si="35"/>
        <v>0</v>
      </c>
    </row>
    <row r="355" spans="1:12" x14ac:dyDescent="0.25">
      <c r="A355" s="1">
        <v>44480</v>
      </c>
      <c r="B355">
        <v>180</v>
      </c>
      <c r="C355">
        <v>2.255272505103306</v>
      </c>
      <c r="D355">
        <v>0</v>
      </c>
      <c r="E355">
        <v>354</v>
      </c>
      <c r="F355">
        <f t="shared" si="30"/>
        <v>-0.93501624268541472</v>
      </c>
      <c r="G355">
        <f t="shared" si="31"/>
        <v>0.35460488704253584</v>
      </c>
      <c r="H355">
        <f t="shared" si="32"/>
        <v>2.2045928731946054</v>
      </c>
      <c r="I355">
        <f>C355-H355</f>
        <v>5.0679631908700618E-2</v>
      </c>
      <c r="J355">
        <f t="shared" si="33"/>
        <v>5.0679631908700618E-2</v>
      </c>
      <c r="K355">
        <f t="shared" si="34"/>
        <v>2.3021496948928442</v>
      </c>
      <c r="L355">
        <f t="shared" si="35"/>
        <v>0</v>
      </c>
    </row>
    <row r="356" spans="1:12" x14ac:dyDescent="0.25">
      <c r="A356" s="1">
        <v>44487</v>
      </c>
      <c r="B356">
        <v>183</v>
      </c>
      <c r="C356">
        <v>2.2624510897304293</v>
      </c>
      <c r="D356">
        <v>0</v>
      </c>
      <c r="E356">
        <v>355</v>
      </c>
      <c r="F356">
        <f t="shared" si="30"/>
        <v>-0.88545602565321246</v>
      </c>
      <c r="G356">
        <f t="shared" si="31"/>
        <v>0.46472317204376357</v>
      </c>
      <c r="H356">
        <f t="shared" si="32"/>
        <v>2.2087824243583194</v>
      </c>
      <c r="I356">
        <f>C356-H356</f>
        <v>5.3668665372109903E-2</v>
      </c>
      <c r="J356">
        <f t="shared" si="33"/>
        <v>5.3668665372109903E-2</v>
      </c>
      <c r="K356">
        <f t="shared" si="34"/>
        <v>2.3063392460565582</v>
      </c>
      <c r="L356">
        <f t="shared" si="35"/>
        <v>0</v>
      </c>
    </row>
    <row r="357" spans="1:12" x14ac:dyDescent="0.25">
      <c r="A357" s="1">
        <v>44494</v>
      </c>
      <c r="B357">
        <v>195</v>
      </c>
      <c r="C357">
        <v>2.2900346113625178</v>
      </c>
      <c r="D357">
        <v>0</v>
      </c>
      <c r="E357">
        <v>356</v>
      </c>
      <c r="F357">
        <f t="shared" si="30"/>
        <v>-0.82298386589365491</v>
      </c>
      <c r="G357">
        <f t="shared" si="31"/>
        <v>0.56806474673115803</v>
      </c>
      <c r="H357">
        <f t="shared" si="32"/>
        <v>2.213301899808457</v>
      </c>
      <c r="I357">
        <f>C357-H357</f>
        <v>7.6732711554060806E-2</v>
      </c>
      <c r="J357">
        <f t="shared" si="33"/>
        <v>7.6732711554060806E-2</v>
      </c>
      <c r="K357">
        <f t="shared" si="34"/>
        <v>2.3108587215066958</v>
      </c>
      <c r="L357">
        <f t="shared" si="35"/>
        <v>0</v>
      </c>
    </row>
    <row r="358" spans="1:12" x14ac:dyDescent="0.25">
      <c r="A358" s="1">
        <v>44501</v>
      </c>
      <c r="B358">
        <v>174</v>
      </c>
      <c r="C358">
        <v>2.2405492482825999</v>
      </c>
      <c r="D358">
        <v>0</v>
      </c>
      <c r="E358">
        <v>357</v>
      </c>
      <c r="F358">
        <f t="shared" si="30"/>
        <v>-0.74851074817110319</v>
      </c>
      <c r="G358">
        <f t="shared" si="31"/>
        <v>0.66312265824079286</v>
      </c>
      <c r="H358">
        <f t="shared" si="32"/>
        <v>2.218085395415982</v>
      </c>
      <c r="I358">
        <f>C358-H358</f>
        <v>2.2463852866617895E-2</v>
      </c>
      <c r="J358">
        <f t="shared" si="33"/>
        <v>2.2463852866617895E-2</v>
      </c>
      <c r="K358">
        <f t="shared" si="34"/>
        <v>2.3156422171142208</v>
      </c>
      <c r="L358">
        <f t="shared" si="35"/>
        <v>0</v>
      </c>
    </row>
    <row r="359" spans="1:12" x14ac:dyDescent="0.25">
      <c r="A359" s="1">
        <v>44508</v>
      </c>
      <c r="B359">
        <v>187</v>
      </c>
      <c r="C359">
        <v>2.271841606536499</v>
      </c>
      <c r="D359">
        <v>0</v>
      </c>
      <c r="E359">
        <v>358</v>
      </c>
      <c r="F359">
        <f t="shared" si="30"/>
        <v>-0.66312265824079664</v>
      </c>
      <c r="G359">
        <f t="shared" si="31"/>
        <v>0.74851074817109975</v>
      </c>
      <c r="H359">
        <f t="shared" si="32"/>
        <v>2.2230631570434438</v>
      </c>
      <c r="I359">
        <f>C359-H359</f>
        <v>4.8778449493055209E-2</v>
      </c>
      <c r="J359">
        <f t="shared" si="33"/>
        <v>4.8778449493055209E-2</v>
      </c>
      <c r="K359">
        <f t="shared" si="34"/>
        <v>2.3206199787416826</v>
      </c>
      <c r="L359">
        <f t="shared" si="35"/>
        <v>0</v>
      </c>
    </row>
    <row r="360" spans="1:12" x14ac:dyDescent="0.25">
      <c r="A360" s="1">
        <v>44515</v>
      </c>
      <c r="B360">
        <v>197</v>
      </c>
      <c r="C360">
        <v>2.2944662261615929</v>
      </c>
      <c r="D360">
        <v>0</v>
      </c>
      <c r="E360">
        <v>359</v>
      </c>
      <c r="F360">
        <f t="shared" si="30"/>
        <v>-0.56806474673116225</v>
      </c>
      <c r="G360">
        <f t="shared" si="31"/>
        <v>0.82298386589365191</v>
      </c>
      <c r="H360">
        <f t="shared" si="32"/>
        <v>2.2281625977173705</v>
      </c>
      <c r="I360">
        <f>C360-H360</f>
        <v>6.630362844422244E-2</v>
      </c>
      <c r="J360">
        <f t="shared" si="33"/>
        <v>6.630362844422244E-2</v>
      </c>
      <c r="K360">
        <f t="shared" si="34"/>
        <v>2.3257194194156092</v>
      </c>
      <c r="L360">
        <f t="shared" si="35"/>
        <v>0</v>
      </c>
    </row>
    <row r="361" spans="1:12" x14ac:dyDescent="0.25">
      <c r="A361" s="1">
        <v>44522</v>
      </c>
      <c r="B361">
        <v>181</v>
      </c>
      <c r="C361">
        <v>2.2576785748691846</v>
      </c>
      <c r="D361">
        <v>0</v>
      </c>
      <c r="E361">
        <v>360</v>
      </c>
      <c r="F361">
        <f t="shared" si="30"/>
        <v>-0.46472317204376812</v>
      </c>
      <c r="G361">
        <f t="shared" si="31"/>
        <v>0.88545602565321013</v>
      </c>
      <c r="H361">
        <f t="shared" si="32"/>
        <v>2.2333093561097965</v>
      </c>
      <c r="I361">
        <f>C361-H361</f>
        <v>2.4369218759388023E-2</v>
      </c>
      <c r="J361">
        <f t="shared" si="33"/>
        <v>2.4369218759388023E-2</v>
      </c>
      <c r="K361">
        <f t="shared" si="34"/>
        <v>2.3308661778080353</v>
      </c>
      <c r="L361">
        <f t="shared" si="35"/>
        <v>0</v>
      </c>
    </row>
    <row r="362" spans="1:12" x14ac:dyDescent="0.25">
      <c r="A362" s="1">
        <v>44529</v>
      </c>
      <c r="B362">
        <v>190</v>
      </c>
      <c r="C362">
        <v>2.2787536009528289</v>
      </c>
      <c r="D362">
        <v>0</v>
      </c>
      <c r="E362">
        <v>361</v>
      </c>
      <c r="F362">
        <f t="shared" si="30"/>
        <v>-0.35460488704254067</v>
      </c>
      <c r="G362">
        <f t="shared" si="31"/>
        <v>0.93501624268541295</v>
      </c>
      <c r="H362">
        <f t="shared" si="32"/>
        <v>2.2384283808938683</v>
      </c>
      <c r="I362">
        <f>C362-H362</f>
        <v>4.0325220058960554E-2</v>
      </c>
      <c r="J362">
        <f t="shared" si="33"/>
        <v>4.0325220058960554E-2</v>
      </c>
      <c r="K362">
        <f t="shared" si="34"/>
        <v>2.3359852025921071</v>
      </c>
      <c r="L362">
        <f t="shared" si="35"/>
        <v>0</v>
      </c>
    </row>
    <row r="363" spans="1:12" x14ac:dyDescent="0.25">
      <c r="A363" s="1">
        <v>44536</v>
      </c>
      <c r="B363">
        <v>182</v>
      </c>
      <c r="C363">
        <v>2.2600713879850747</v>
      </c>
      <c r="D363">
        <v>0</v>
      </c>
      <c r="E363">
        <v>362</v>
      </c>
      <c r="F363">
        <f t="shared" si="30"/>
        <v>-0.23931566428756182</v>
      </c>
      <c r="G363">
        <f t="shared" si="31"/>
        <v>0.97094181742605101</v>
      </c>
      <c r="H363">
        <f t="shared" si="32"/>
        <v>2.2434450251611957</v>
      </c>
      <c r="I363">
        <f>C363-H363</f>
        <v>1.6626362823878971E-2</v>
      </c>
      <c r="J363">
        <f t="shared" si="33"/>
        <v>1.6626362823878971E-2</v>
      </c>
      <c r="K363">
        <f t="shared" si="34"/>
        <v>2.3410018468594345</v>
      </c>
      <c r="L363">
        <f t="shared" si="35"/>
        <v>0</v>
      </c>
    </row>
    <row r="364" spans="1:12" x14ac:dyDescent="0.25">
      <c r="A364" s="1">
        <v>44543</v>
      </c>
      <c r="B364">
        <v>189</v>
      </c>
      <c r="C364">
        <v>2.2764618041732443</v>
      </c>
      <c r="D364">
        <v>0</v>
      </c>
      <c r="E364">
        <v>363</v>
      </c>
      <c r="F364">
        <f t="shared" si="30"/>
        <v>-0.12053668025531891</v>
      </c>
      <c r="G364">
        <f t="shared" si="31"/>
        <v>0.99270887409805453</v>
      </c>
      <c r="H364">
        <f t="shared" si="32"/>
        <v>2.2482861349418615</v>
      </c>
      <c r="I364">
        <f>C364-H364</f>
        <v>2.8175669231382816E-2</v>
      </c>
      <c r="J364">
        <f t="shared" si="33"/>
        <v>2.8175669231382816E-2</v>
      </c>
      <c r="K364">
        <f t="shared" si="34"/>
        <v>2.3458429566401002</v>
      </c>
      <c r="L364">
        <f t="shared" si="35"/>
        <v>0</v>
      </c>
    </row>
    <row r="365" spans="1:12" x14ac:dyDescent="0.25">
      <c r="A365" s="1">
        <v>44550</v>
      </c>
      <c r="B365">
        <v>199</v>
      </c>
      <c r="C365">
        <v>2.2988530764097068</v>
      </c>
      <c r="D365">
        <v>0</v>
      </c>
      <c r="E365">
        <v>364</v>
      </c>
      <c r="F365">
        <f t="shared" si="30"/>
        <v>-1.715207836872068E-15</v>
      </c>
      <c r="G365">
        <f t="shared" si="31"/>
        <v>1</v>
      </c>
      <c r="H365">
        <f t="shared" si="32"/>
        <v>2.2528811159540325</v>
      </c>
      <c r="I365">
        <f>C365-H365</f>
        <v>4.597196045567431E-2</v>
      </c>
      <c r="J365">
        <f t="shared" si="33"/>
        <v>4.597196045567431E-2</v>
      </c>
      <c r="K365">
        <f t="shared" si="34"/>
        <v>2.3504379376522713</v>
      </c>
      <c r="L365">
        <f t="shared" si="35"/>
        <v>0</v>
      </c>
    </row>
    <row r="366" spans="1:12" x14ac:dyDescent="0.25">
      <c r="A366" s="1">
        <v>44557</v>
      </c>
      <c r="B366">
        <v>203</v>
      </c>
      <c r="C366">
        <v>2.307496037913213</v>
      </c>
      <c r="D366">
        <v>0</v>
      </c>
      <c r="E366">
        <v>365</v>
      </c>
      <c r="F366">
        <f t="shared" si="30"/>
        <v>0.12053668025532256</v>
      </c>
      <c r="G366">
        <f t="shared" si="31"/>
        <v>0.99270887409805408</v>
      </c>
      <c r="H366">
        <f t="shared" si="32"/>
        <v>2.2571629630275569</v>
      </c>
      <c r="I366">
        <f>C366-H366</f>
        <v>5.0333074885656082E-2</v>
      </c>
      <c r="J366">
        <f t="shared" si="33"/>
        <v>5.0333074885656082E-2</v>
      </c>
      <c r="K366">
        <f t="shared" si="34"/>
        <v>2.3547197847257957</v>
      </c>
      <c r="L366">
        <f t="shared" si="35"/>
        <v>0</v>
      </c>
    </row>
    <row r="367" spans="1:12" x14ac:dyDescent="0.25">
      <c r="A367" s="1">
        <v>44564</v>
      </c>
      <c r="B367">
        <v>203</v>
      </c>
      <c r="C367">
        <v>2.307496037913213</v>
      </c>
      <c r="D367">
        <v>0</v>
      </c>
      <c r="E367">
        <v>366</v>
      </c>
      <c r="F367">
        <f t="shared" si="30"/>
        <v>0.23931566428755158</v>
      </c>
      <c r="G367">
        <f t="shared" si="31"/>
        <v>0.97094181742605357</v>
      </c>
      <c r="H367">
        <f t="shared" si="32"/>
        <v>2.2610692371902212</v>
      </c>
      <c r="I367">
        <f>C367-H367</f>
        <v>4.6426800722991768E-2</v>
      </c>
      <c r="J367">
        <f t="shared" si="33"/>
        <v>4.6426800722991768E-2</v>
      </c>
      <c r="K367">
        <f t="shared" si="34"/>
        <v>2.35862605888846</v>
      </c>
      <c r="L367">
        <f t="shared" si="35"/>
        <v>0</v>
      </c>
    </row>
    <row r="368" spans="1:12" x14ac:dyDescent="0.25">
      <c r="A368" s="1">
        <v>44571</v>
      </c>
      <c r="B368">
        <v>172</v>
      </c>
      <c r="C368">
        <v>2.2355284469075487</v>
      </c>
      <c r="D368">
        <v>0</v>
      </c>
      <c r="E368">
        <v>367</v>
      </c>
      <c r="F368">
        <f t="shared" si="30"/>
        <v>0.35460488704253745</v>
      </c>
      <c r="G368">
        <f t="shared" si="31"/>
        <v>0.93501624268541417</v>
      </c>
      <c r="H368">
        <f t="shared" si="32"/>
        <v>2.2645429761685723</v>
      </c>
      <c r="I368">
        <f>C368-H368</f>
        <v>-2.9014529261023547E-2</v>
      </c>
      <c r="J368">
        <f t="shared" si="33"/>
        <v>-2.9014529261023547E-2</v>
      </c>
      <c r="K368">
        <f t="shared" si="34"/>
        <v>2.362099797866811</v>
      </c>
      <c r="L368">
        <f t="shared" si="35"/>
        <v>0</v>
      </c>
    </row>
    <row r="369" spans="1:12" x14ac:dyDescent="0.25">
      <c r="A369" s="1">
        <v>44578</v>
      </c>
      <c r="B369">
        <v>207</v>
      </c>
      <c r="C369">
        <v>2.3159703454569178</v>
      </c>
      <c r="D369">
        <v>0</v>
      </c>
      <c r="E369">
        <v>368</v>
      </c>
      <c r="F369">
        <f t="shared" si="30"/>
        <v>0.46472317204376506</v>
      </c>
      <c r="G369">
        <f t="shared" si="31"/>
        <v>0.88545602565321169</v>
      </c>
      <c r="H369">
        <f t="shared" si="32"/>
        <v>2.267533525026125</v>
      </c>
      <c r="I369">
        <f>C369-H369</f>
        <v>4.8436820430792782E-2</v>
      </c>
      <c r="J369">
        <f t="shared" si="33"/>
        <v>4.8436820430792782E-2</v>
      </c>
      <c r="K369">
        <f t="shared" si="34"/>
        <v>2.3650903467243638</v>
      </c>
      <c r="L369">
        <f t="shared" si="35"/>
        <v>0</v>
      </c>
    </row>
    <row r="370" spans="1:12" x14ac:dyDescent="0.25">
      <c r="A370" s="1">
        <v>44585</v>
      </c>
      <c r="B370">
        <v>214</v>
      </c>
      <c r="C370">
        <v>2.330413773349191</v>
      </c>
      <c r="D370">
        <v>0</v>
      </c>
      <c r="E370">
        <v>369</v>
      </c>
      <c r="F370">
        <f t="shared" si="30"/>
        <v>0.56806474673115359</v>
      </c>
      <c r="G370">
        <f t="shared" si="31"/>
        <v>0.82298386589365791</v>
      </c>
      <c r="H370">
        <f t="shared" si="32"/>
        <v>2.2699972748264079</v>
      </c>
      <c r="I370">
        <f>C370-H370</f>
        <v>6.041649852278308E-2</v>
      </c>
      <c r="J370">
        <f t="shared" si="33"/>
        <v>6.041649852278308E-2</v>
      </c>
      <c r="K370">
        <f t="shared" si="34"/>
        <v>2.3675540965246467</v>
      </c>
      <c r="L370">
        <f t="shared" si="35"/>
        <v>0</v>
      </c>
    </row>
    <row r="371" spans="1:12" x14ac:dyDescent="0.25">
      <c r="A371" s="1">
        <v>44592</v>
      </c>
      <c r="B371">
        <v>223</v>
      </c>
      <c r="C371">
        <v>2.3483048630481607</v>
      </c>
      <c r="D371">
        <v>0</v>
      </c>
      <c r="E371">
        <v>370</v>
      </c>
      <c r="F371">
        <f t="shared" si="30"/>
        <v>0.66312265824079408</v>
      </c>
      <c r="G371">
        <f t="shared" si="31"/>
        <v>0.74851074817110208</v>
      </c>
      <c r="H371">
        <f t="shared" si="32"/>
        <v>2.2718982985494516</v>
      </c>
      <c r="I371">
        <f>C371-H371</f>
        <v>7.6406564498709084E-2</v>
      </c>
      <c r="J371">
        <f t="shared" si="33"/>
        <v>7.6406564498709084E-2</v>
      </c>
      <c r="K371">
        <f t="shared" si="34"/>
        <v>2.3694551202476903</v>
      </c>
      <c r="L371">
        <f t="shared" si="35"/>
        <v>0</v>
      </c>
    </row>
    <row r="372" spans="1:12" x14ac:dyDescent="0.25">
      <c r="A372" s="1">
        <v>44599</v>
      </c>
      <c r="B372">
        <v>209</v>
      </c>
      <c r="C372">
        <v>2.3201462861110542</v>
      </c>
      <c r="D372">
        <v>0</v>
      </c>
      <c r="E372">
        <v>371</v>
      </c>
      <c r="F372">
        <f t="shared" si="30"/>
        <v>0.74851074817110097</v>
      </c>
      <c r="G372">
        <f t="shared" si="31"/>
        <v>0.66312265824079542</v>
      </c>
      <c r="H372">
        <f t="shared" si="32"/>
        <v>2.2732088749886397</v>
      </c>
      <c r="I372">
        <f>C372-H372</f>
        <v>4.6937411122414563E-2</v>
      </c>
      <c r="J372">
        <f t="shared" si="33"/>
        <v>4.6937411122414563E-2</v>
      </c>
      <c r="K372">
        <f t="shared" si="34"/>
        <v>2.3707656966868784</v>
      </c>
      <c r="L372">
        <f t="shared" si="35"/>
        <v>0</v>
      </c>
    </row>
    <row r="373" spans="1:12" x14ac:dyDescent="0.25">
      <c r="A373" s="1">
        <v>44606</v>
      </c>
      <c r="B373">
        <v>164</v>
      </c>
      <c r="C373">
        <v>2.214843848047698</v>
      </c>
      <c r="D373">
        <v>0</v>
      </c>
      <c r="E373">
        <v>372</v>
      </c>
      <c r="F373">
        <f t="shared" si="30"/>
        <v>0.82298386589365291</v>
      </c>
      <c r="G373">
        <f t="shared" si="31"/>
        <v>0.56806474673116081</v>
      </c>
      <c r="H373">
        <f t="shared" si="32"/>
        <v>2.2739098929883297</v>
      </c>
      <c r="I373">
        <f>C373-H373</f>
        <v>-5.9066044940631723E-2</v>
      </c>
      <c r="J373">
        <f t="shared" si="33"/>
        <v>-5.9066044940631723E-2</v>
      </c>
      <c r="K373">
        <f t="shared" si="34"/>
        <v>2.3714667146865684</v>
      </c>
      <c r="L373">
        <f t="shared" si="35"/>
        <v>0</v>
      </c>
    </row>
    <row r="374" spans="1:12" x14ac:dyDescent="0.25">
      <c r="A374" s="1">
        <v>44613</v>
      </c>
      <c r="B374">
        <v>152</v>
      </c>
      <c r="C374">
        <v>2.1818435879447726</v>
      </c>
      <c r="D374">
        <v>0</v>
      </c>
      <c r="E374">
        <v>373</v>
      </c>
      <c r="F374">
        <f t="shared" si="30"/>
        <v>0.88545602565320758</v>
      </c>
      <c r="G374">
        <f t="shared" si="31"/>
        <v>0.46472317204377289</v>
      </c>
      <c r="H374">
        <f t="shared" si="32"/>
        <v>2.2739911301275306</v>
      </c>
      <c r="I374">
        <f>C374-H374</f>
        <v>-9.2147542182758002E-2</v>
      </c>
      <c r="J374">
        <f t="shared" si="33"/>
        <v>-9.2147542182758002E-2</v>
      </c>
      <c r="K374">
        <f t="shared" si="34"/>
        <v>2.3715479518257694</v>
      </c>
      <c r="L374">
        <f t="shared" si="35"/>
        <v>0</v>
      </c>
    </row>
    <row r="375" spans="1:12" x14ac:dyDescent="0.25">
      <c r="A375" s="1">
        <v>44620</v>
      </c>
      <c r="B375">
        <v>136</v>
      </c>
      <c r="C375">
        <v>2.1335389083702174</v>
      </c>
      <c r="D375">
        <v>0</v>
      </c>
      <c r="E375">
        <v>374</v>
      </c>
      <c r="F375">
        <f t="shared" si="30"/>
        <v>0.93501624268541605</v>
      </c>
      <c r="G375">
        <f t="shared" si="31"/>
        <v>0.3546048870425324</v>
      </c>
      <c r="H375">
        <f t="shared" si="32"/>
        <v>2.2734514017858221</v>
      </c>
      <c r="I375">
        <f>C375-H375</f>
        <v>-0.13991249341560463</v>
      </c>
      <c r="J375">
        <f t="shared" si="33"/>
        <v>-0.13991249341560463</v>
      </c>
      <c r="K375">
        <f t="shared" si="34"/>
        <v>2.3710082234840608</v>
      </c>
      <c r="L375">
        <f t="shared" si="35"/>
        <v>0</v>
      </c>
    </row>
    <row r="376" spans="1:12" x14ac:dyDescent="0.25">
      <c r="A376" s="1">
        <v>44627</v>
      </c>
      <c r="B376">
        <v>205</v>
      </c>
      <c r="C376">
        <v>2.3117538610557542</v>
      </c>
      <c r="D376">
        <v>0</v>
      </c>
      <c r="E376">
        <v>375</v>
      </c>
      <c r="F376">
        <f t="shared" si="30"/>
        <v>0.97094181742605146</v>
      </c>
      <c r="G376">
        <f t="shared" si="31"/>
        <v>0.23931566428756015</v>
      </c>
      <c r="H376">
        <f t="shared" si="32"/>
        <v>2.2722985784177894</v>
      </c>
      <c r="I376">
        <f>C376-H376</f>
        <v>3.9455282637964828E-2</v>
      </c>
      <c r="J376">
        <f t="shared" si="33"/>
        <v>3.9455282637964828E-2</v>
      </c>
      <c r="K376">
        <f t="shared" si="34"/>
        <v>2.3698554001160281</v>
      </c>
      <c r="L376">
        <f t="shared" si="35"/>
        <v>0</v>
      </c>
    </row>
    <row r="377" spans="1:12" x14ac:dyDescent="0.25">
      <c r="A377" s="1">
        <v>44634</v>
      </c>
      <c r="B377">
        <v>188</v>
      </c>
      <c r="C377">
        <v>2.27415784926368</v>
      </c>
      <c r="D377">
        <v>0</v>
      </c>
      <c r="E377">
        <v>376</v>
      </c>
      <c r="F377">
        <f t="shared" si="30"/>
        <v>0.99270887409805386</v>
      </c>
      <c r="G377">
        <f t="shared" si="31"/>
        <v>0.12053668025532427</v>
      </c>
      <c r="H377">
        <f t="shared" si="32"/>
        <v>2.2705494707840699</v>
      </c>
      <c r="I377">
        <f>C377-H377</f>
        <v>3.6083784796101526E-3</v>
      </c>
      <c r="J377">
        <f t="shared" si="33"/>
        <v>3.6083784796101526E-3</v>
      </c>
      <c r="K377">
        <f t="shared" si="34"/>
        <v>2.3681062924823086</v>
      </c>
      <c r="L377">
        <f t="shared" si="35"/>
        <v>0</v>
      </c>
    </row>
    <row r="378" spans="1:12" x14ac:dyDescent="0.25">
      <c r="A378" s="1">
        <v>44641</v>
      </c>
      <c r="B378">
        <v>162</v>
      </c>
      <c r="C378">
        <v>2.2095150145426308</v>
      </c>
      <c r="D378">
        <v>0</v>
      </c>
      <c r="E378">
        <v>377</v>
      </c>
      <c r="F378">
        <f t="shared" si="30"/>
        <v>1</v>
      </c>
      <c r="G378">
        <f t="shared" si="31"/>
        <v>1.0842021724855044E-19</v>
      </c>
      <c r="H378">
        <f t="shared" si="32"/>
        <v>2.2682295848126106</v>
      </c>
      <c r="I378">
        <f>C378-H378</f>
        <v>-5.8714570269979838E-2</v>
      </c>
      <c r="J378">
        <f t="shared" si="33"/>
        <v>-5.8714570269979838E-2</v>
      </c>
      <c r="K378">
        <f t="shared" si="34"/>
        <v>2.3657864065108494</v>
      </c>
      <c r="L378">
        <f t="shared" si="35"/>
        <v>0</v>
      </c>
    </row>
    <row r="379" spans="1:12" x14ac:dyDescent="0.25">
      <c r="A379" s="1">
        <v>44648</v>
      </c>
      <c r="B379">
        <v>178</v>
      </c>
      <c r="C379">
        <v>2.2504200023088941</v>
      </c>
      <c r="D379">
        <v>0</v>
      </c>
      <c r="E379">
        <v>378</v>
      </c>
      <c r="F379">
        <f t="shared" si="30"/>
        <v>0.99270887409805386</v>
      </c>
      <c r="G379">
        <f t="shared" si="31"/>
        <v>-0.12053668025532427</v>
      </c>
      <c r="H379">
        <f t="shared" si="32"/>
        <v>2.2653727496648046</v>
      </c>
      <c r="I379">
        <f>C379-H379</f>
        <v>-1.4952747355910567E-2</v>
      </c>
      <c r="J379">
        <f t="shared" si="33"/>
        <v>-1.4952747355910567E-2</v>
      </c>
      <c r="K379">
        <f t="shared" si="34"/>
        <v>2.3629295713630434</v>
      </c>
      <c r="L379">
        <f t="shared" si="35"/>
        <v>0</v>
      </c>
    </row>
    <row r="380" spans="1:12" x14ac:dyDescent="0.25">
      <c r="A380" s="1">
        <v>44655</v>
      </c>
      <c r="B380">
        <v>176</v>
      </c>
      <c r="C380">
        <v>2.2455126678141499</v>
      </c>
      <c r="D380">
        <v>0</v>
      </c>
      <c r="E380">
        <v>379</v>
      </c>
      <c r="F380">
        <f t="shared" si="30"/>
        <v>0.97094181742605312</v>
      </c>
      <c r="G380">
        <f t="shared" si="31"/>
        <v>-0.23931566428755324</v>
      </c>
      <c r="H380">
        <f t="shared" si="32"/>
        <v>2.2620206244301388</v>
      </c>
      <c r="I380">
        <f>C380-H380</f>
        <v>-1.6507956615988917E-2</v>
      </c>
      <c r="J380">
        <f t="shared" si="33"/>
        <v>-1.6507956615988917E-2</v>
      </c>
      <c r="K380">
        <f t="shared" si="34"/>
        <v>2.3595774461283776</v>
      </c>
      <c r="L380">
        <f t="shared" si="35"/>
        <v>0</v>
      </c>
    </row>
    <row r="381" spans="1:12" x14ac:dyDescent="0.25">
      <c r="A381" s="1">
        <v>44662</v>
      </c>
      <c r="B381">
        <v>193</v>
      </c>
      <c r="C381">
        <v>2.2855573090077739</v>
      </c>
      <c r="D381">
        <v>0</v>
      </c>
      <c r="E381">
        <v>380</v>
      </c>
      <c r="F381">
        <f t="shared" si="30"/>
        <v>0.93501624268541605</v>
      </c>
      <c r="G381">
        <f t="shared" si="31"/>
        <v>-0.3546048870425324</v>
      </c>
      <c r="H381">
        <f t="shared" si="32"/>
        <v>2.2582220906428629</v>
      </c>
      <c r="I381">
        <f>C381-H381</f>
        <v>2.7335218364910929E-2</v>
      </c>
      <c r="J381">
        <f t="shared" si="33"/>
        <v>2.7335218364910929E-2</v>
      </c>
      <c r="K381">
        <f t="shared" si="34"/>
        <v>2.3557789123411017</v>
      </c>
      <c r="L381">
        <f t="shared" si="35"/>
        <v>0</v>
      </c>
    </row>
    <row r="382" spans="1:12" x14ac:dyDescent="0.25">
      <c r="A382" s="1">
        <v>44669</v>
      </c>
      <c r="B382">
        <v>179</v>
      </c>
      <c r="C382">
        <v>2.2528530309798933</v>
      </c>
      <c r="D382">
        <v>0</v>
      </c>
      <c r="E382">
        <v>381</v>
      </c>
      <c r="F382">
        <f t="shared" si="30"/>
        <v>0.88545602565321091</v>
      </c>
      <c r="G382">
        <f t="shared" si="31"/>
        <v>-0.46472317204376662</v>
      </c>
      <c r="H382">
        <f t="shared" si="32"/>
        <v>2.2540325394791489</v>
      </c>
      <c r="I382">
        <f>C382-H382</f>
        <v>-1.1795084992556326E-3</v>
      </c>
      <c r="J382">
        <f t="shared" si="33"/>
        <v>-1.1795084992556326E-3</v>
      </c>
      <c r="K382">
        <f t="shared" si="34"/>
        <v>2.3515893611773877</v>
      </c>
      <c r="L382">
        <f t="shared" si="35"/>
        <v>0</v>
      </c>
    </row>
    <row r="383" spans="1:12" x14ac:dyDescent="0.25">
      <c r="A383" s="1">
        <v>44676</v>
      </c>
      <c r="B383">
        <v>149</v>
      </c>
      <c r="C383">
        <v>2.173186268412274</v>
      </c>
      <c r="D383">
        <v>0</v>
      </c>
      <c r="E383">
        <v>382</v>
      </c>
      <c r="F383">
        <f t="shared" si="30"/>
        <v>0.82298386589365691</v>
      </c>
      <c r="G383">
        <f t="shared" si="31"/>
        <v>-0.56806474673115503</v>
      </c>
      <c r="H383">
        <f t="shared" si="32"/>
        <v>2.2495130640290113</v>
      </c>
      <c r="I383">
        <f>C383-H383</f>
        <v>-7.6326795616737275E-2</v>
      </c>
      <c r="J383">
        <f t="shared" si="33"/>
        <v>-7.6326795616737275E-2</v>
      </c>
      <c r="K383">
        <f t="shared" si="34"/>
        <v>2.3470698857272501</v>
      </c>
      <c r="L383">
        <f t="shared" si="35"/>
        <v>0</v>
      </c>
    </row>
    <row r="384" spans="1:12" x14ac:dyDescent="0.25">
      <c r="A384" s="1">
        <v>44683</v>
      </c>
      <c r="B384">
        <v>169</v>
      </c>
      <c r="C384">
        <v>2.2278867046136734</v>
      </c>
      <c r="D384">
        <v>0</v>
      </c>
      <c r="E384">
        <v>383</v>
      </c>
      <c r="F384">
        <f t="shared" si="30"/>
        <v>0.74851074817110563</v>
      </c>
      <c r="G384">
        <f t="shared" si="31"/>
        <v>-0.66312265824079009</v>
      </c>
      <c r="H384">
        <f t="shared" si="32"/>
        <v>2.2447295684214863</v>
      </c>
      <c r="I384">
        <f>C384-H384</f>
        <v>-1.6842863807812858E-2</v>
      </c>
      <c r="J384">
        <f t="shared" si="33"/>
        <v>-1.6842863807812858E-2</v>
      </c>
      <c r="K384">
        <f t="shared" si="34"/>
        <v>2.3422863901197251</v>
      </c>
      <c r="L384">
        <f t="shared" si="35"/>
        <v>0</v>
      </c>
    </row>
    <row r="385" spans="1:12" x14ac:dyDescent="0.25">
      <c r="A385" s="1">
        <v>44690</v>
      </c>
      <c r="B385">
        <v>142</v>
      </c>
      <c r="C385">
        <v>2.1522883443830563</v>
      </c>
      <c r="D385">
        <v>0</v>
      </c>
      <c r="E385">
        <v>384</v>
      </c>
      <c r="F385">
        <f t="shared" si="30"/>
        <v>0.66312265824079408</v>
      </c>
      <c r="G385">
        <f t="shared" si="31"/>
        <v>-0.74851074817110208</v>
      </c>
      <c r="H385">
        <f t="shared" si="32"/>
        <v>2.2397518067940241</v>
      </c>
      <c r="I385">
        <f>C385-H385</f>
        <v>-8.7463462410967807E-2</v>
      </c>
      <c r="J385">
        <f t="shared" si="33"/>
        <v>-8.7463462410967807E-2</v>
      </c>
      <c r="K385">
        <f t="shared" si="34"/>
        <v>2.3373086284922628</v>
      </c>
      <c r="L385">
        <f t="shared" si="35"/>
        <v>0</v>
      </c>
    </row>
    <row r="386" spans="1:12" x14ac:dyDescent="0.25">
      <c r="A386" s="1">
        <v>44697</v>
      </c>
      <c r="B386">
        <v>161</v>
      </c>
      <c r="C386">
        <v>2.2068258760318495</v>
      </c>
      <c r="D386">
        <v>0</v>
      </c>
      <c r="E386">
        <v>385</v>
      </c>
      <c r="F386">
        <f t="shared" si="30"/>
        <v>0.56806474673115359</v>
      </c>
      <c r="G386">
        <f t="shared" si="31"/>
        <v>-0.82298386589365791</v>
      </c>
      <c r="H386">
        <f t="shared" si="32"/>
        <v>2.2346523661200974</v>
      </c>
      <c r="I386">
        <f>C386-H386</f>
        <v>-2.782649008824789E-2</v>
      </c>
      <c r="J386">
        <f t="shared" si="33"/>
        <v>-2.782649008824789E-2</v>
      </c>
      <c r="K386">
        <f t="shared" si="34"/>
        <v>2.3322091878183362</v>
      </c>
      <c r="L386">
        <f t="shared" si="35"/>
        <v>0</v>
      </c>
    </row>
    <row r="387" spans="1:12" x14ac:dyDescent="0.25">
      <c r="A387" s="1">
        <v>44704</v>
      </c>
      <c r="B387">
        <v>148</v>
      </c>
      <c r="C387">
        <v>2.1702617153949575</v>
      </c>
      <c r="D387">
        <v>0</v>
      </c>
      <c r="E387">
        <v>386</v>
      </c>
      <c r="F387">
        <f t="shared" ref="F387:F450" si="36">SIN(2*PI()*E387/52)</f>
        <v>0.46472317204377139</v>
      </c>
      <c r="G387">
        <f t="shared" ref="G387:G450" si="37">COS(2*PI()*E387/52)</f>
        <v>-0.88545602565320847</v>
      </c>
      <c r="H387">
        <f t="shared" ref="H387:H450" si="38">$P$2+$N$2*F387+$O$2*G387</f>
        <v>2.2295056077276718</v>
      </c>
      <c r="I387">
        <f>C387-H387</f>
        <v>-5.9243892332714321E-2</v>
      </c>
      <c r="J387">
        <f t="shared" ref="J387:J450" si="39">IF(D387,"",I387)</f>
        <v>-5.9243892332714321E-2</v>
      </c>
      <c r="K387">
        <f t="shared" ref="K387:K450" si="40">H387+$S$2</f>
        <v>2.3270624294259106</v>
      </c>
      <c r="L387">
        <f t="shared" ref="L387:L450" si="41">IF(C387-K387&gt;0,10^C387-10^K387,0)</f>
        <v>0</v>
      </c>
    </row>
    <row r="388" spans="1:12" x14ac:dyDescent="0.25">
      <c r="A388" s="1">
        <v>44711</v>
      </c>
      <c r="B388">
        <v>147</v>
      </c>
      <c r="C388">
        <v>2.167317334748176</v>
      </c>
      <c r="D388">
        <v>0</v>
      </c>
      <c r="E388">
        <v>387</v>
      </c>
      <c r="F388">
        <f t="shared" si="36"/>
        <v>0.35460488704253745</v>
      </c>
      <c r="G388">
        <f t="shared" si="37"/>
        <v>-0.93501624268541417</v>
      </c>
      <c r="H388">
        <f t="shared" si="38"/>
        <v>2.2243865829436</v>
      </c>
      <c r="I388">
        <f>C388-H388</f>
        <v>-5.7069248195424027E-2</v>
      </c>
      <c r="J388">
        <f t="shared" si="39"/>
        <v>-5.7069248195424027E-2</v>
      </c>
      <c r="K388">
        <f t="shared" si="40"/>
        <v>2.3219434046418388</v>
      </c>
      <c r="L388">
        <f t="shared" si="41"/>
        <v>0</v>
      </c>
    </row>
    <row r="389" spans="1:12" x14ac:dyDescent="0.25">
      <c r="A389" s="1">
        <v>44718</v>
      </c>
      <c r="B389">
        <v>149</v>
      </c>
      <c r="C389">
        <v>2.173186268412274</v>
      </c>
      <c r="D389">
        <v>0</v>
      </c>
      <c r="E389">
        <v>388</v>
      </c>
      <c r="F389">
        <f t="shared" si="36"/>
        <v>0.23931566428755849</v>
      </c>
      <c r="G389">
        <f t="shared" si="37"/>
        <v>-0.9709418174260519</v>
      </c>
      <c r="H389">
        <f t="shared" si="38"/>
        <v>2.2193699386762726</v>
      </c>
      <c r="I389">
        <f>C389-H389</f>
        <v>-4.6183670263998611E-2</v>
      </c>
      <c r="J389">
        <f t="shared" si="39"/>
        <v>-4.6183670263998611E-2</v>
      </c>
      <c r="K389">
        <f t="shared" si="40"/>
        <v>2.3169267603745114</v>
      </c>
      <c r="L389">
        <f t="shared" si="41"/>
        <v>0</v>
      </c>
    </row>
    <row r="390" spans="1:12" x14ac:dyDescent="0.25">
      <c r="A390" s="1">
        <v>44725</v>
      </c>
      <c r="B390">
        <v>168</v>
      </c>
      <c r="C390">
        <v>2.2253092817258628</v>
      </c>
      <c r="D390">
        <v>0</v>
      </c>
      <c r="E390">
        <v>389</v>
      </c>
      <c r="F390">
        <f t="shared" si="36"/>
        <v>0.12053668025532256</v>
      </c>
      <c r="G390">
        <f t="shared" si="37"/>
        <v>-0.99270887409805408</v>
      </c>
      <c r="H390">
        <f t="shared" si="38"/>
        <v>2.2145288288956073</v>
      </c>
      <c r="I390">
        <f>C390-H390</f>
        <v>1.0780452830255527E-2</v>
      </c>
      <c r="J390">
        <f t="shared" si="39"/>
        <v>1.0780452830255527E-2</v>
      </c>
      <c r="K390">
        <f t="shared" si="40"/>
        <v>2.3120856505938461</v>
      </c>
      <c r="L390">
        <f t="shared" si="41"/>
        <v>0</v>
      </c>
    </row>
    <row r="391" spans="1:12" x14ac:dyDescent="0.25">
      <c r="A391" s="1">
        <v>44732</v>
      </c>
      <c r="B391">
        <v>165</v>
      </c>
      <c r="C391">
        <v>2.2174839442139063</v>
      </c>
      <c r="D391">
        <v>0</v>
      </c>
      <c r="E391">
        <v>390</v>
      </c>
      <c r="F391">
        <f t="shared" si="36"/>
        <v>5.3904363611634309E-15</v>
      </c>
      <c r="G391">
        <f t="shared" si="37"/>
        <v>-1</v>
      </c>
      <c r="H391">
        <f t="shared" si="38"/>
        <v>2.2099338478834358</v>
      </c>
      <c r="I391">
        <f>C391-H391</f>
        <v>7.5500963304704349E-3</v>
      </c>
      <c r="J391">
        <f t="shared" si="39"/>
        <v>7.5500963304704349E-3</v>
      </c>
      <c r="K391">
        <f t="shared" si="40"/>
        <v>2.3074906695816746</v>
      </c>
      <c r="L391">
        <f t="shared" si="41"/>
        <v>0</v>
      </c>
    </row>
    <row r="392" spans="1:12" x14ac:dyDescent="0.25">
      <c r="A392" s="1">
        <v>44739</v>
      </c>
      <c r="B392">
        <v>153</v>
      </c>
      <c r="C392">
        <v>2.1846914308175989</v>
      </c>
      <c r="D392">
        <v>0</v>
      </c>
      <c r="E392">
        <v>391</v>
      </c>
      <c r="F392">
        <f t="shared" si="36"/>
        <v>-0.12053668025532598</v>
      </c>
      <c r="G392">
        <f t="shared" si="37"/>
        <v>-0.99270887409805364</v>
      </c>
      <c r="H392">
        <f t="shared" si="38"/>
        <v>2.2056520008099114</v>
      </c>
      <c r="I392">
        <f>C392-H392</f>
        <v>-2.096056999231255E-2</v>
      </c>
      <c r="J392">
        <f t="shared" si="39"/>
        <v>-2.096056999231255E-2</v>
      </c>
      <c r="K392">
        <f t="shared" si="40"/>
        <v>2.3032088225081502</v>
      </c>
      <c r="L392">
        <f t="shared" si="41"/>
        <v>0</v>
      </c>
    </row>
    <row r="393" spans="1:12" x14ac:dyDescent="0.25">
      <c r="A393" s="1">
        <v>44746</v>
      </c>
      <c r="B393">
        <v>151</v>
      </c>
      <c r="C393">
        <v>2.1789769472931693</v>
      </c>
      <c r="D393">
        <v>0</v>
      </c>
      <c r="E393">
        <v>392</v>
      </c>
      <c r="F393">
        <f t="shared" si="36"/>
        <v>-0.23931566428755491</v>
      </c>
      <c r="G393">
        <f t="shared" si="37"/>
        <v>-0.97094181742605268</v>
      </c>
      <c r="H393">
        <f t="shared" si="38"/>
        <v>2.2017457266472471</v>
      </c>
      <c r="I393">
        <f>C393-H393</f>
        <v>-2.2768779354077839E-2</v>
      </c>
      <c r="J393">
        <f t="shared" si="39"/>
        <v>-2.2768779354077839E-2</v>
      </c>
      <c r="K393">
        <f t="shared" si="40"/>
        <v>2.2993025483454859</v>
      </c>
      <c r="L393">
        <f t="shared" si="41"/>
        <v>0</v>
      </c>
    </row>
    <row r="394" spans="1:12" x14ac:dyDescent="0.25">
      <c r="A394" s="1">
        <v>44753</v>
      </c>
      <c r="B394">
        <v>140</v>
      </c>
      <c r="C394">
        <v>2.1461280356782382</v>
      </c>
      <c r="D394">
        <v>0</v>
      </c>
      <c r="E394">
        <v>393</v>
      </c>
      <c r="F394">
        <f t="shared" si="36"/>
        <v>-0.35460488704253401</v>
      </c>
      <c r="G394">
        <f t="shared" si="37"/>
        <v>-0.93501624268541539</v>
      </c>
      <c r="H394">
        <f t="shared" si="38"/>
        <v>2.1982719876688965</v>
      </c>
      <c r="I394">
        <f>C394-H394</f>
        <v>-5.2143951990658355E-2</v>
      </c>
      <c r="J394">
        <f t="shared" si="39"/>
        <v>-5.2143951990658355E-2</v>
      </c>
      <c r="K394">
        <f t="shared" si="40"/>
        <v>2.2958288093671353</v>
      </c>
      <c r="L394">
        <f t="shared" si="41"/>
        <v>0</v>
      </c>
    </row>
    <row r="395" spans="1:12" x14ac:dyDescent="0.25">
      <c r="A395" s="1">
        <v>44760</v>
      </c>
      <c r="B395">
        <v>199</v>
      </c>
      <c r="C395">
        <v>2.2988530764097068</v>
      </c>
      <c r="D395">
        <v>0</v>
      </c>
      <c r="E395">
        <v>394</v>
      </c>
      <c r="F395">
        <f t="shared" si="36"/>
        <v>-0.46472317204376185</v>
      </c>
      <c r="G395">
        <f t="shared" si="37"/>
        <v>-0.88545602565321346</v>
      </c>
      <c r="H395">
        <f t="shared" si="38"/>
        <v>2.1952814388113433</v>
      </c>
      <c r="I395">
        <f>C395-H395</f>
        <v>0.10357163759836352</v>
      </c>
      <c r="J395">
        <f t="shared" si="39"/>
        <v>0.10357163759836352</v>
      </c>
      <c r="K395">
        <f t="shared" si="40"/>
        <v>2.2928382605095821</v>
      </c>
      <c r="L395">
        <f t="shared" si="41"/>
        <v>2.7370779578198778</v>
      </c>
    </row>
    <row r="396" spans="1:12" x14ac:dyDescent="0.25">
      <c r="A396" s="1">
        <v>44767</v>
      </c>
      <c r="B396">
        <v>168</v>
      </c>
      <c r="C396">
        <v>2.2253092817258628</v>
      </c>
      <c r="D396">
        <v>0</v>
      </c>
      <c r="E396">
        <v>395</v>
      </c>
      <c r="F396">
        <f t="shared" si="36"/>
        <v>-0.56806474673115637</v>
      </c>
      <c r="G396">
        <f t="shared" si="37"/>
        <v>-0.82298386589365602</v>
      </c>
      <c r="H396">
        <f t="shared" si="38"/>
        <v>2.1928176890110604</v>
      </c>
      <c r="I396">
        <f>C396-H396</f>
        <v>3.2491592714802398E-2</v>
      </c>
      <c r="J396">
        <f t="shared" si="39"/>
        <v>3.2491592714802398E-2</v>
      </c>
      <c r="K396">
        <f t="shared" si="40"/>
        <v>2.2903745107092992</v>
      </c>
      <c r="L396">
        <f t="shared" si="41"/>
        <v>0</v>
      </c>
    </row>
    <row r="397" spans="1:12" x14ac:dyDescent="0.25">
      <c r="A397" s="1">
        <v>44774</v>
      </c>
      <c r="B397">
        <v>161</v>
      </c>
      <c r="C397">
        <v>2.2068258760318495</v>
      </c>
      <c r="D397">
        <v>0</v>
      </c>
      <c r="E397">
        <v>396</v>
      </c>
      <c r="F397">
        <f t="shared" si="36"/>
        <v>-0.66312265824079664</v>
      </c>
      <c r="G397">
        <f t="shared" si="37"/>
        <v>-0.74851074817109975</v>
      </c>
      <c r="H397">
        <f t="shared" si="38"/>
        <v>2.1909166652880172</v>
      </c>
      <c r="I397">
        <f>C397-H397</f>
        <v>1.5909210743832336E-2</v>
      </c>
      <c r="J397">
        <f t="shared" si="39"/>
        <v>1.5909210743832336E-2</v>
      </c>
      <c r="K397">
        <f t="shared" si="40"/>
        <v>2.288473486986256</v>
      </c>
      <c r="L397">
        <f t="shared" si="41"/>
        <v>0</v>
      </c>
    </row>
    <row r="398" spans="1:12" x14ac:dyDescent="0.25">
      <c r="A398" s="1">
        <v>44781</v>
      </c>
      <c r="B398">
        <v>177</v>
      </c>
      <c r="C398">
        <v>2.2479732663618068</v>
      </c>
      <c r="D398">
        <v>0</v>
      </c>
      <c r="E398">
        <v>397</v>
      </c>
      <c r="F398">
        <f t="shared" si="36"/>
        <v>-0.74851074817109853</v>
      </c>
      <c r="G398">
        <f t="shared" si="37"/>
        <v>-0.66312265824079819</v>
      </c>
      <c r="H398">
        <f t="shared" si="38"/>
        <v>2.1896060888488287</v>
      </c>
      <c r="I398">
        <f>C398-H398</f>
        <v>5.8367177512978152E-2</v>
      </c>
      <c r="J398">
        <f t="shared" si="39"/>
        <v>5.8367177512978152E-2</v>
      </c>
      <c r="K398">
        <f t="shared" si="40"/>
        <v>2.2871629105470674</v>
      </c>
      <c r="L398">
        <f t="shared" si="41"/>
        <v>0</v>
      </c>
    </row>
    <row r="399" spans="1:12" x14ac:dyDescent="0.25">
      <c r="A399" s="1">
        <v>44788</v>
      </c>
      <c r="B399">
        <v>149</v>
      </c>
      <c r="C399">
        <v>2.173186268412274</v>
      </c>
      <c r="D399">
        <v>0</v>
      </c>
      <c r="E399">
        <v>398</v>
      </c>
      <c r="F399">
        <f t="shared" si="36"/>
        <v>-0.82298386589365891</v>
      </c>
      <c r="G399">
        <f t="shared" si="37"/>
        <v>-0.56806474673115215</v>
      </c>
      <c r="H399">
        <f t="shared" si="38"/>
        <v>2.1889050708491382</v>
      </c>
      <c r="I399">
        <f>C399-H399</f>
        <v>-1.5718802436864188E-2</v>
      </c>
      <c r="J399">
        <f t="shared" si="39"/>
        <v>-1.5718802436864188E-2</v>
      </c>
      <c r="K399">
        <f t="shared" si="40"/>
        <v>2.286461892547377</v>
      </c>
      <c r="L399">
        <f t="shared" si="41"/>
        <v>0</v>
      </c>
    </row>
    <row r="400" spans="1:12" x14ac:dyDescent="0.25">
      <c r="A400" s="1">
        <v>44795</v>
      </c>
      <c r="B400">
        <v>164</v>
      </c>
      <c r="C400">
        <v>2.214843848047698</v>
      </c>
      <c r="D400">
        <v>0</v>
      </c>
      <c r="E400">
        <v>399</v>
      </c>
      <c r="F400">
        <f t="shared" si="36"/>
        <v>-0.88545602565320924</v>
      </c>
      <c r="G400">
        <f t="shared" si="37"/>
        <v>-0.46472317204376984</v>
      </c>
      <c r="H400">
        <f t="shared" si="38"/>
        <v>2.1888238337099377</v>
      </c>
      <c r="I400">
        <f>C400-H400</f>
        <v>2.6020014337760244E-2</v>
      </c>
      <c r="J400">
        <f t="shared" si="39"/>
        <v>2.6020014337760244E-2</v>
      </c>
      <c r="K400">
        <f t="shared" si="40"/>
        <v>2.2863806554081765</v>
      </c>
      <c r="L400">
        <f t="shared" si="41"/>
        <v>0</v>
      </c>
    </row>
    <row r="401" spans="1:12" x14ac:dyDescent="0.25">
      <c r="A401" s="1">
        <v>44802</v>
      </c>
      <c r="B401">
        <v>138</v>
      </c>
      <c r="C401">
        <v>2.1398790864012365</v>
      </c>
      <c r="D401">
        <v>0</v>
      </c>
      <c r="E401">
        <v>400</v>
      </c>
      <c r="F401">
        <f t="shared" si="36"/>
        <v>-0.93501624268541472</v>
      </c>
      <c r="G401">
        <f t="shared" si="37"/>
        <v>-0.35460488704253584</v>
      </c>
      <c r="H401">
        <f t="shared" si="38"/>
        <v>2.1893635620516463</v>
      </c>
      <c r="I401">
        <f>C401-H401</f>
        <v>-4.9484475650409809E-2</v>
      </c>
      <c r="J401">
        <f t="shared" si="39"/>
        <v>-4.9484475650409809E-2</v>
      </c>
      <c r="K401">
        <f t="shared" si="40"/>
        <v>2.286920383749885</v>
      </c>
      <c r="L401">
        <f t="shared" si="41"/>
        <v>0</v>
      </c>
    </row>
    <row r="402" spans="1:12" x14ac:dyDescent="0.25">
      <c r="A402" s="1">
        <v>44809</v>
      </c>
      <c r="B402">
        <v>170</v>
      </c>
      <c r="C402">
        <v>2.2304489213782741</v>
      </c>
      <c r="D402">
        <v>0</v>
      </c>
      <c r="E402">
        <v>401</v>
      </c>
      <c r="F402">
        <f t="shared" si="36"/>
        <v>-0.97094181742605057</v>
      </c>
      <c r="G402">
        <f t="shared" si="37"/>
        <v>-0.23931566428756371</v>
      </c>
      <c r="H402">
        <f t="shared" si="38"/>
        <v>2.190516385419679</v>
      </c>
      <c r="I402">
        <f>C402-H402</f>
        <v>3.9932535958595139E-2</v>
      </c>
      <c r="J402">
        <f t="shared" si="39"/>
        <v>3.9932535958595139E-2</v>
      </c>
      <c r="K402">
        <f t="shared" si="40"/>
        <v>2.2880732071179177</v>
      </c>
      <c r="L402">
        <f t="shared" si="41"/>
        <v>0</v>
      </c>
    </row>
    <row r="403" spans="1:12" x14ac:dyDescent="0.25">
      <c r="A403" s="1">
        <v>44816</v>
      </c>
      <c r="B403">
        <v>143</v>
      </c>
      <c r="C403">
        <v>2.1553360374650619</v>
      </c>
      <c r="D403">
        <v>0</v>
      </c>
      <c r="E403">
        <v>402</v>
      </c>
      <c r="F403">
        <f t="shared" si="36"/>
        <v>-0.99270887409805431</v>
      </c>
      <c r="G403">
        <f t="shared" si="37"/>
        <v>-0.12053668025532087</v>
      </c>
      <c r="H403">
        <f t="shared" si="38"/>
        <v>2.1922654930533985</v>
      </c>
      <c r="I403">
        <f>C403-H403</f>
        <v>-3.6929455588336602E-2</v>
      </c>
      <c r="J403">
        <f t="shared" si="39"/>
        <v>-3.6929455588336602E-2</v>
      </c>
      <c r="K403">
        <f t="shared" si="40"/>
        <v>2.2898223147516372</v>
      </c>
      <c r="L403">
        <f t="shared" si="41"/>
        <v>0</v>
      </c>
    </row>
    <row r="404" spans="1:12" x14ac:dyDescent="0.25">
      <c r="A404" s="1">
        <v>44823</v>
      </c>
      <c r="B404">
        <v>135</v>
      </c>
      <c r="C404">
        <v>2.1303337684950061</v>
      </c>
      <c r="D404">
        <v>0</v>
      </c>
      <c r="E404">
        <v>403</v>
      </c>
      <c r="F404">
        <f t="shared" si="36"/>
        <v>-1</v>
      </c>
      <c r="G404">
        <f t="shared" si="37"/>
        <v>-3.6753369445086115E-15</v>
      </c>
      <c r="H404">
        <f t="shared" si="38"/>
        <v>2.1945853790248577</v>
      </c>
      <c r="I404">
        <f>C404-H404</f>
        <v>-6.4251610529851622E-2</v>
      </c>
      <c r="J404">
        <f t="shared" si="39"/>
        <v>-6.4251610529851622E-2</v>
      </c>
      <c r="K404">
        <f t="shared" si="40"/>
        <v>2.2921422007230965</v>
      </c>
      <c r="L404">
        <f t="shared" si="41"/>
        <v>0</v>
      </c>
    </row>
    <row r="405" spans="1:12" x14ac:dyDescent="0.25">
      <c r="A405" s="1">
        <v>44830</v>
      </c>
      <c r="B405">
        <v>150</v>
      </c>
      <c r="C405">
        <v>2.1760912590556813</v>
      </c>
      <c r="D405">
        <v>0</v>
      </c>
      <c r="E405">
        <v>404</v>
      </c>
      <c r="F405">
        <f t="shared" si="36"/>
        <v>-0.99270887409805431</v>
      </c>
      <c r="G405">
        <f t="shared" si="37"/>
        <v>0.12053668025532062</v>
      </c>
      <c r="H405">
        <f t="shared" si="38"/>
        <v>2.1974422141726637</v>
      </c>
      <c r="I405">
        <f>C405-H405</f>
        <v>-2.1350955116982373E-2</v>
      </c>
      <c r="J405">
        <f t="shared" si="39"/>
        <v>-2.1350955116982373E-2</v>
      </c>
      <c r="K405">
        <f t="shared" si="40"/>
        <v>2.2949990358709025</v>
      </c>
      <c r="L405">
        <f t="shared" si="41"/>
        <v>0</v>
      </c>
    </row>
    <row r="406" spans="1:12" x14ac:dyDescent="0.25">
      <c r="A406" s="1">
        <v>44837</v>
      </c>
      <c r="B406">
        <v>180</v>
      </c>
      <c r="C406">
        <v>2.255272505103306</v>
      </c>
      <c r="D406">
        <v>0</v>
      </c>
      <c r="E406">
        <v>405</v>
      </c>
      <c r="F406">
        <f t="shared" si="36"/>
        <v>-0.97094181742605401</v>
      </c>
      <c r="G406">
        <f t="shared" si="37"/>
        <v>0.23931566428754969</v>
      </c>
      <c r="H406">
        <f t="shared" si="38"/>
        <v>2.2007943394073295</v>
      </c>
      <c r="I406">
        <f>C406-H406</f>
        <v>5.4478165695976521E-2</v>
      </c>
      <c r="J406">
        <f t="shared" si="39"/>
        <v>5.4478165695976521E-2</v>
      </c>
      <c r="K406">
        <f t="shared" si="40"/>
        <v>2.2983511611055683</v>
      </c>
      <c r="L406">
        <f t="shared" si="41"/>
        <v>0</v>
      </c>
    </row>
    <row r="407" spans="1:12" x14ac:dyDescent="0.25">
      <c r="A407" s="1">
        <v>44844</v>
      </c>
      <c r="B407">
        <v>151</v>
      </c>
      <c r="C407">
        <v>2.1789769472931693</v>
      </c>
      <c r="D407">
        <v>0</v>
      </c>
      <c r="E407">
        <v>406</v>
      </c>
      <c r="F407">
        <f t="shared" si="36"/>
        <v>-0.93501624268541483</v>
      </c>
      <c r="G407">
        <f t="shared" si="37"/>
        <v>0.35460488704253562</v>
      </c>
      <c r="H407">
        <f t="shared" si="38"/>
        <v>2.2045928731946054</v>
      </c>
      <c r="I407">
        <f>C407-H407</f>
        <v>-2.5615925901436132E-2</v>
      </c>
      <c r="J407">
        <f t="shared" si="39"/>
        <v>-2.5615925901436132E-2</v>
      </c>
      <c r="K407">
        <f t="shared" si="40"/>
        <v>2.3021496948928442</v>
      </c>
      <c r="L407">
        <f t="shared" si="41"/>
        <v>0</v>
      </c>
    </row>
    <row r="408" spans="1:12" x14ac:dyDescent="0.25">
      <c r="A408" s="1">
        <v>44851</v>
      </c>
      <c r="B408">
        <v>170</v>
      </c>
      <c r="C408">
        <v>2.2304489213782741</v>
      </c>
      <c r="D408">
        <v>0</v>
      </c>
      <c r="E408">
        <v>407</v>
      </c>
      <c r="F408">
        <f t="shared" si="36"/>
        <v>-0.88545602565320936</v>
      </c>
      <c r="G408">
        <f t="shared" si="37"/>
        <v>0.46472317204376962</v>
      </c>
      <c r="H408">
        <f t="shared" si="38"/>
        <v>2.2087824243583194</v>
      </c>
      <c r="I408">
        <f>C408-H408</f>
        <v>2.1666497019954711E-2</v>
      </c>
      <c r="J408">
        <f t="shared" si="39"/>
        <v>2.1666497019954711E-2</v>
      </c>
      <c r="K408">
        <f t="shared" si="40"/>
        <v>2.3063392460565582</v>
      </c>
      <c r="L408">
        <f t="shared" si="41"/>
        <v>0</v>
      </c>
    </row>
    <row r="409" spans="1:12" x14ac:dyDescent="0.25">
      <c r="A409" s="1">
        <v>44858</v>
      </c>
      <c r="B409">
        <v>186</v>
      </c>
      <c r="C409">
        <v>2.2695129442179165</v>
      </c>
      <c r="D409">
        <v>0</v>
      </c>
      <c r="E409">
        <v>408</v>
      </c>
      <c r="F409">
        <f t="shared" si="36"/>
        <v>-0.82298386589365902</v>
      </c>
      <c r="G409">
        <f t="shared" si="37"/>
        <v>0.56806474673115193</v>
      </c>
      <c r="H409">
        <f t="shared" si="38"/>
        <v>2.2133018998084566</v>
      </c>
      <c r="I409">
        <f>C409-H409</f>
        <v>5.6211044409459898E-2</v>
      </c>
      <c r="J409">
        <f t="shared" si="39"/>
        <v>5.6211044409459898E-2</v>
      </c>
      <c r="K409">
        <f t="shared" si="40"/>
        <v>2.3108587215066954</v>
      </c>
      <c r="L409">
        <f t="shared" si="41"/>
        <v>0</v>
      </c>
    </row>
    <row r="410" spans="1:12" x14ac:dyDescent="0.25">
      <c r="A410" s="1">
        <v>44865</v>
      </c>
      <c r="B410">
        <v>166</v>
      </c>
      <c r="C410">
        <v>2.220108088040055</v>
      </c>
      <c r="D410">
        <v>0</v>
      </c>
      <c r="E410">
        <v>409</v>
      </c>
      <c r="F410">
        <f t="shared" si="36"/>
        <v>-0.74851074817109864</v>
      </c>
      <c r="G410">
        <f t="shared" si="37"/>
        <v>0.66312265824079797</v>
      </c>
      <c r="H410">
        <f t="shared" si="38"/>
        <v>2.2180853954159825</v>
      </c>
      <c r="I410">
        <f>C410-H410</f>
        <v>2.0226926240725085E-3</v>
      </c>
      <c r="J410">
        <f t="shared" si="39"/>
        <v>2.0226926240725085E-3</v>
      </c>
      <c r="K410">
        <f t="shared" si="40"/>
        <v>2.3156422171142212</v>
      </c>
      <c r="L410">
        <f t="shared" si="41"/>
        <v>0</v>
      </c>
    </row>
    <row r="411" spans="1:12" x14ac:dyDescent="0.25">
      <c r="A411" s="1">
        <v>44872</v>
      </c>
      <c r="B411">
        <v>165</v>
      </c>
      <c r="C411">
        <v>2.2174839442139063</v>
      </c>
      <c r="D411">
        <v>0</v>
      </c>
      <c r="E411">
        <v>410</v>
      </c>
      <c r="F411">
        <f t="shared" si="36"/>
        <v>-0.66312265824079686</v>
      </c>
      <c r="G411">
        <f t="shared" si="37"/>
        <v>0.74851074817109964</v>
      </c>
      <c r="H411">
        <f t="shared" si="38"/>
        <v>2.2230631570434438</v>
      </c>
      <c r="I411">
        <f>C411-H411</f>
        <v>-5.5792128295375498E-3</v>
      </c>
      <c r="J411">
        <f t="shared" si="39"/>
        <v>-5.5792128295375498E-3</v>
      </c>
      <c r="K411">
        <f t="shared" si="40"/>
        <v>2.3206199787416826</v>
      </c>
      <c r="L411">
        <f t="shared" si="41"/>
        <v>0</v>
      </c>
    </row>
    <row r="412" spans="1:12" x14ac:dyDescent="0.25">
      <c r="A412" s="1">
        <v>44879</v>
      </c>
      <c r="B412">
        <v>144</v>
      </c>
      <c r="C412">
        <v>2.1583624920952498</v>
      </c>
      <c r="D412">
        <v>0</v>
      </c>
      <c r="E412">
        <v>411</v>
      </c>
      <c r="F412">
        <f t="shared" si="36"/>
        <v>-0.56806474673115659</v>
      </c>
      <c r="G412">
        <f t="shared" si="37"/>
        <v>0.8229838658936558</v>
      </c>
      <c r="H412">
        <f t="shared" si="38"/>
        <v>2.2281625977173709</v>
      </c>
      <c r="I412">
        <f>C412-H412</f>
        <v>-6.9800105622121134E-2</v>
      </c>
      <c r="J412">
        <f t="shared" si="39"/>
        <v>-6.9800105622121134E-2</v>
      </c>
      <c r="K412">
        <f t="shared" si="40"/>
        <v>2.3257194194156097</v>
      </c>
      <c r="L412">
        <f t="shared" si="41"/>
        <v>0</v>
      </c>
    </row>
    <row r="413" spans="1:12" x14ac:dyDescent="0.25">
      <c r="A413" s="1">
        <v>44886</v>
      </c>
      <c r="B413">
        <v>185</v>
      </c>
      <c r="C413">
        <v>2.2671717284030137</v>
      </c>
      <c r="D413">
        <v>0</v>
      </c>
      <c r="E413">
        <v>412</v>
      </c>
      <c r="F413">
        <f t="shared" si="36"/>
        <v>-0.46472317204377461</v>
      </c>
      <c r="G413">
        <f t="shared" si="37"/>
        <v>0.88545602565320669</v>
      </c>
      <c r="H413">
        <f t="shared" si="38"/>
        <v>2.2333093561097965</v>
      </c>
      <c r="I413">
        <f>C413-H413</f>
        <v>3.3862372293217202E-2</v>
      </c>
      <c r="J413">
        <f t="shared" si="39"/>
        <v>3.3862372293217202E-2</v>
      </c>
      <c r="K413">
        <f t="shared" si="40"/>
        <v>2.3308661778080353</v>
      </c>
      <c r="L413">
        <f t="shared" si="41"/>
        <v>0</v>
      </c>
    </row>
    <row r="414" spans="1:12" x14ac:dyDescent="0.25">
      <c r="A414" s="1">
        <v>44893</v>
      </c>
      <c r="B414">
        <v>170</v>
      </c>
      <c r="C414">
        <v>2.2304489213782741</v>
      </c>
      <c r="D414">
        <v>0</v>
      </c>
      <c r="E414">
        <v>413</v>
      </c>
      <c r="F414">
        <f t="shared" si="36"/>
        <v>-0.35460488704253423</v>
      </c>
      <c r="G414">
        <f t="shared" si="37"/>
        <v>0.93501624268541539</v>
      </c>
      <c r="H414">
        <f t="shared" si="38"/>
        <v>2.2384283808938688</v>
      </c>
      <c r="I414">
        <f>C414-H414</f>
        <v>-7.9794595155946446E-3</v>
      </c>
      <c r="J414">
        <f t="shared" si="39"/>
        <v>-7.9794595155946446E-3</v>
      </c>
      <c r="K414">
        <f t="shared" si="40"/>
        <v>2.3359852025921075</v>
      </c>
      <c r="L414">
        <f t="shared" si="41"/>
        <v>0</v>
      </c>
    </row>
    <row r="415" spans="1:12" x14ac:dyDescent="0.25">
      <c r="A415" s="1">
        <v>44900</v>
      </c>
      <c r="B415">
        <v>154</v>
      </c>
      <c r="C415">
        <v>2.1875207208364631</v>
      </c>
      <c r="D415">
        <v>0</v>
      </c>
      <c r="E415">
        <v>414</v>
      </c>
      <c r="F415">
        <f t="shared" si="36"/>
        <v>-0.23931566428756204</v>
      </c>
      <c r="G415">
        <f t="shared" si="37"/>
        <v>0.97094181742605101</v>
      </c>
      <c r="H415">
        <f t="shared" si="38"/>
        <v>2.2434450251611957</v>
      </c>
      <c r="I415">
        <f>C415-H415</f>
        <v>-5.592430432473261E-2</v>
      </c>
      <c r="J415">
        <f t="shared" si="39"/>
        <v>-5.592430432473261E-2</v>
      </c>
      <c r="K415">
        <f t="shared" si="40"/>
        <v>2.3410018468594345</v>
      </c>
      <c r="L415">
        <f t="shared" si="41"/>
        <v>0</v>
      </c>
    </row>
    <row r="416" spans="1:12" x14ac:dyDescent="0.25">
      <c r="A416" s="1">
        <v>44907</v>
      </c>
      <c r="B416">
        <v>212</v>
      </c>
      <c r="C416">
        <v>2.3263358609287512</v>
      </c>
      <c r="D416">
        <v>0</v>
      </c>
      <c r="E416">
        <v>415</v>
      </c>
      <c r="F416">
        <f t="shared" si="36"/>
        <v>-0.12053668025532621</v>
      </c>
      <c r="G416">
        <f t="shared" si="37"/>
        <v>0.99270887409805364</v>
      </c>
      <c r="H416">
        <f t="shared" si="38"/>
        <v>2.248286134941861</v>
      </c>
      <c r="I416">
        <f>C416-H416</f>
        <v>7.8049725986890195E-2</v>
      </c>
      <c r="J416">
        <f t="shared" si="39"/>
        <v>7.8049725986890195E-2</v>
      </c>
      <c r="K416">
        <f t="shared" si="40"/>
        <v>2.3458429566400998</v>
      </c>
      <c r="L416">
        <f t="shared" si="41"/>
        <v>0</v>
      </c>
    </row>
    <row r="417" spans="1:12" x14ac:dyDescent="0.25">
      <c r="A417" s="1">
        <v>44914</v>
      </c>
      <c r="B417">
        <v>234</v>
      </c>
      <c r="C417">
        <v>2.369215857410143</v>
      </c>
      <c r="D417">
        <v>0</v>
      </c>
      <c r="E417">
        <v>416</v>
      </c>
      <c r="F417">
        <f t="shared" si="36"/>
        <v>5.1451898297472098E-15</v>
      </c>
      <c r="G417">
        <f t="shared" si="37"/>
        <v>1</v>
      </c>
      <c r="H417">
        <f t="shared" si="38"/>
        <v>2.2528811159540325</v>
      </c>
      <c r="I417">
        <f>C417-H417</f>
        <v>0.11633474145611045</v>
      </c>
      <c r="J417">
        <f t="shared" si="39"/>
        <v>0.11633474145611045</v>
      </c>
      <c r="K417">
        <f t="shared" si="40"/>
        <v>2.3504379376522713</v>
      </c>
      <c r="L417">
        <f t="shared" si="41"/>
        <v>9.9020221709175757</v>
      </c>
    </row>
    <row r="418" spans="1:12" x14ac:dyDescent="0.25">
      <c r="A418" s="1">
        <v>44921</v>
      </c>
      <c r="B418">
        <v>217</v>
      </c>
      <c r="C418">
        <v>2.3364597338485296</v>
      </c>
      <c r="D418">
        <v>0</v>
      </c>
      <c r="E418">
        <v>417</v>
      </c>
      <c r="F418">
        <f t="shared" si="36"/>
        <v>0.12053668025532233</v>
      </c>
      <c r="G418">
        <f t="shared" si="37"/>
        <v>0.99270887409805408</v>
      </c>
      <c r="H418">
        <f t="shared" si="38"/>
        <v>2.2571629630275569</v>
      </c>
      <c r="I418">
        <f>C418-H418</f>
        <v>7.929677082097264E-2</v>
      </c>
      <c r="J418">
        <f t="shared" si="39"/>
        <v>7.929677082097264E-2</v>
      </c>
      <c r="K418">
        <f t="shared" si="40"/>
        <v>2.3547197847257957</v>
      </c>
      <c r="L418">
        <f t="shared" si="41"/>
        <v>0</v>
      </c>
    </row>
    <row r="419" spans="1:12" x14ac:dyDescent="0.25">
      <c r="A419" s="1">
        <v>44928</v>
      </c>
      <c r="B419">
        <v>212</v>
      </c>
      <c r="C419">
        <v>2.3263358609287512</v>
      </c>
      <c r="D419">
        <v>0</v>
      </c>
      <c r="E419">
        <v>418</v>
      </c>
      <c r="F419">
        <f t="shared" si="36"/>
        <v>0.23931566428755824</v>
      </c>
      <c r="G419">
        <f t="shared" si="37"/>
        <v>0.9709418174260519</v>
      </c>
      <c r="H419">
        <f t="shared" si="38"/>
        <v>2.2610692371902217</v>
      </c>
      <c r="I419">
        <f>C419-H419</f>
        <v>6.5266623738529539E-2</v>
      </c>
      <c r="J419">
        <f t="shared" si="39"/>
        <v>6.5266623738529539E-2</v>
      </c>
      <c r="K419">
        <f t="shared" si="40"/>
        <v>2.3586260588884604</v>
      </c>
      <c r="L419">
        <f t="shared" si="41"/>
        <v>0</v>
      </c>
    </row>
    <row r="420" spans="1:12" x14ac:dyDescent="0.25">
      <c r="A420" s="1">
        <v>44935</v>
      </c>
      <c r="B420">
        <v>224</v>
      </c>
      <c r="C420">
        <v>2.3502480183341627</v>
      </c>
      <c r="D420">
        <v>0</v>
      </c>
      <c r="E420">
        <v>419</v>
      </c>
      <c r="F420">
        <f t="shared" si="36"/>
        <v>0.35460488704253057</v>
      </c>
      <c r="G420">
        <f t="shared" si="37"/>
        <v>0.93501624268541672</v>
      </c>
      <c r="H420">
        <f t="shared" si="38"/>
        <v>2.2645429761685718</v>
      </c>
      <c r="I420">
        <f>C420-H420</f>
        <v>8.5705042165590939E-2</v>
      </c>
      <c r="J420">
        <f t="shared" si="39"/>
        <v>8.5705042165590939E-2</v>
      </c>
      <c r="K420">
        <f t="shared" si="40"/>
        <v>2.3620997978668106</v>
      </c>
      <c r="L420">
        <f t="shared" si="41"/>
        <v>0</v>
      </c>
    </row>
    <row r="421" spans="1:12" x14ac:dyDescent="0.25">
      <c r="A421" s="1">
        <v>44942</v>
      </c>
      <c r="B421">
        <v>171</v>
      </c>
      <c r="C421">
        <v>2.2329961103921536</v>
      </c>
      <c r="D421">
        <v>0</v>
      </c>
      <c r="E421">
        <v>420</v>
      </c>
      <c r="F421">
        <f t="shared" si="36"/>
        <v>0.46472317204377117</v>
      </c>
      <c r="G421">
        <f t="shared" si="37"/>
        <v>0.88545602565320858</v>
      </c>
      <c r="H421">
        <f t="shared" si="38"/>
        <v>2.2675335250261255</v>
      </c>
      <c r="I421">
        <f>C421-H421</f>
        <v>-3.4537414633971864E-2</v>
      </c>
      <c r="J421">
        <f t="shared" si="39"/>
        <v>-3.4537414633971864E-2</v>
      </c>
      <c r="K421">
        <f t="shared" si="40"/>
        <v>2.3650903467243642</v>
      </c>
      <c r="L421">
        <f t="shared" si="41"/>
        <v>0</v>
      </c>
    </row>
    <row r="422" spans="1:12" x14ac:dyDescent="0.25">
      <c r="A422" s="1">
        <v>44949</v>
      </c>
      <c r="B422">
        <v>159</v>
      </c>
      <c r="C422">
        <v>2.2013971243204513</v>
      </c>
      <c r="D422">
        <v>0</v>
      </c>
      <c r="E422">
        <v>421</v>
      </c>
      <c r="F422">
        <f t="shared" si="36"/>
        <v>0.56806474673115337</v>
      </c>
      <c r="G422">
        <f t="shared" si="37"/>
        <v>0.82298386589365802</v>
      </c>
      <c r="H422">
        <f t="shared" si="38"/>
        <v>2.2699972748264079</v>
      </c>
      <c r="I422">
        <f>C422-H422</f>
        <v>-6.8600150505956581E-2</v>
      </c>
      <c r="J422">
        <f t="shared" si="39"/>
        <v>-6.8600150505956581E-2</v>
      </c>
      <c r="K422">
        <f t="shared" si="40"/>
        <v>2.3675540965246467</v>
      </c>
      <c r="L422">
        <f t="shared" si="41"/>
        <v>0</v>
      </c>
    </row>
    <row r="423" spans="1:12" x14ac:dyDescent="0.25">
      <c r="A423" s="1">
        <v>44956</v>
      </c>
      <c r="B423">
        <v>185</v>
      </c>
      <c r="C423">
        <v>2.2671717284030137</v>
      </c>
      <c r="D423">
        <v>0</v>
      </c>
      <c r="E423">
        <v>422</v>
      </c>
      <c r="F423">
        <f t="shared" si="36"/>
        <v>0.66312265824079397</v>
      </c>
      <c r="G423">
        <f t="shared" si="37"/>
        <v>0.74851074817110219</v>
      </c>
      <c r="H423">
        <f t="shared" si="38"/>
        <v>2.2718982985494516</v>
      </c>
      <c r="I423">
        <f>C423-H423</f>
        <v>-4.7265701464378473E-3</v>
      </c>
      <c r="J423">
        <f t="shared" si="39"/>
        <v>-4.7265701464378473E-3</v>
      </c>
      <c r="K423">
        <f t="shared" si="40"/>
        <v>2.3694551202476903</v>
      </c>
      <c r="L423">
        <f t="shared" si="41"/>
        <v>0</v>
      </c>
    </row>
    <row r="424" spans="1:12" x14ac:dyDescent="0.25">
      <c r="A424" s="1">
        <v>44963</v>
      </c>
      <c r="B424">
        <v>187</v>
      </c>
      <c r="C424">
        <v>2.271841606536499</v>
      </c>
      <c r="D424">
        <v>0</v>
      </c>
      <c r="E424">
        <v>423</v>
      </c>
      <c r="F424">
        <f t="shared" si="36"/>
        <v>0.74851074817109609</v>
      </c>
      <c r="G424">
        <f t="shared" si="37"/>
        <v>0.66312265824080086</v>
      </c>
      <c r="H424">
        <f t="shared" si="38"/>
        <v>2.2732088749886401</v>
      </c>
      <c r="I424">
        <f>C424-H424</f>
        <v>-1.3672684521410794E-3</v>
      </c>
      <c r="J424">
        <f t="shared" si="39"/>
        <v>-1.3672684521410794E-3</v>
      </c>
      <c r="K424">
        <f t="shared" si="40"/>
        <v>2.3707656966868789</v>
      </c>
      <c r="L424">
        <f t="shared" si="41"/>
        <v>0</v>
      </c>
    </row>
    <row r="425" spans="1:12" x14ac:dyDescent="0.25">
      <c r="A425" s="1">
        <v>44970</v>
      </c>
      <c r="B425">
        <v>168</v>
      </c>
      <c r="C425">
        <v>2.2253092817258628</v>
      </c>
      <c r="D425">
        <v>0</v>
      </c>
      <c r="E425">
        <v>424</v>
      </c>
      <c r="F425">
        <f t="shared" si="36"/>
        <v>0.8229838658936568</v>
      </c>
      <c r="G425">
        <f t="shared" si="37"/>
        <v>0.56806474673115515</v>
      </c>
      <c r="H425">
        <f t="shared" si="38"/>
        <v>2.2739098929883297</v>
      </c>
      <c r="I425">
        <f>C425-H425</f>
        <v>-4.8600611262466842E-2</v>
      </c>
      <c r="J425">
        <f t="shared" si="39"/>
        <v>-4.8600611262466842E-2</v>
      </c>
      <c r="K425">
        <f t="shared" si="40"/>
        <v>2.3714667146865684</v>
      </c>
      <c r="L425">
        <f t="shared" si="41"/>
        <v>0</v>
      </c>
    </row>
    <row r="426" spans="1:12" x14ac:dyDescent="0.25">
      <c r="A426" s="1">
        <v>44977</v>
      </c>
      <c r="B426">
        <v>159</v>
      </c>
      <c r="C426">
        <v>2.2013971243204513</v>
      </c>
      <c r="D426">
        <v>0</v>
      </c>
      <c r="E426">
        <v>425</v>
      </c>
      <c r="F426">
        <f t="shared" si="36"/>
        <v>0.88545602565320747</v>
      </c>
      <c r="G426">
        <f t="shared" si="37"/>
        <v>0.46472317204377311</v>
      </c>
      <c r="H426">
        <f t="shared" si="38"/>
        <v>2.2739911301275306</v>
      </c>
      <c r="I426">
        <f>C426-H426</f>
        <v>-7.2594005807079309E-2</v>
      </c>
      <c r="J426">
        <f t="shared" si="39"/>
        <v>-7.2594005807079309E-2</v>
      </c>
      <c r="K426">
        <f t="shared" si="40"/>
        <v>2.3715479518257694</v>
      </c>
      <c r="L426">
        <f t="shared" si="41"/>
        <v>0</v>
      </c>
    </row>
    <row r="427" spans="1:12" x14ac:dyDescent="0.25">
      <c r="A427" s="1">
        <v>44984</v>
      </c>
      <c r="B427">
        <v>166</v>
      </c>
      <c r="C427">
        <v>2.220108088040055</v>
      </c>
      <c r="D427">
        <v>0</v>
      </c>
      <c r="E427">
        <v>426</v>
      </c>
      <c r="F427">
        <f t="shared" si="36"/>
        <v>0.93501624268541339</v>
      </c>
      <c r="G427">
        <f t="shared" si="37"/>
        <v>0.35460488704253929</v>
      </c>
      <c r="H427">
        <f t="shared" si="38"/>
        <v>2.2734514017858221</v>
      </c>
      <c r="I427">
        <f>C427-H427</f>
        <v>-5.3343313745767063E-2</v>
      </c>
      <c r="J427">
        <f t="shared" si="39"/>
        <v>-5.3343313745767063E-2</v>
      </c>
      <c r="K427">
        <f t="shared" si="40"/>
        <v>2.3710082234840608</v>
      </c>
      <c r="L427">
        <f t="shared" si="41"/>
        <v>0</v>
      </c>
    </row>
    <row r="428" spans="1:12" x14ac:dyDescent="0.25">
      <c r="A428" s="1">
        <v>44991</v>
      </c>
      <c r="B428">
        <v>170</v>
      </c>
      <c r="C428">
        <v>2.2304489213782741</v>
      </c>
      <c r="D428">
        <v>0</v>
      </c>
      <c r="E428">
        <v>427</v>
      </c>
      <c r="F428">
        <f t="shared" si="36"/>
        <v>0.97094181742605312</v>
      </c>
      <c r="G428">
        <f t="shared" si="37"/>
        <v>0.23931566428755349</v>
      </c>
      <c r="H428">
        <f t="shared" si="38"/>
        <v>2.2722985784177889</v>
      </c>
      <c r="I428">
        <f>C428-H428</f>
        <v>-4.184965703951482E-2</v>
      </c>
      <c r="J428">
        <f t="shared" si="39"/>
        <v>-4.184965703951482E-2</v>
      </c>
      <c r="K428">
        <f t="shared" si="40"/>
        <v>2.3698554001160277</v>
      </c>
      <c r="L428">
        <f t="shared" si="41"/>
        <v>0</v>
      </c>
    </row>
    <row r="429" spans="1:12" x14ac:dyDescent="0.25">
      <c r="A429" s="1">
        <v>44998</v>
      </c>
      <c r="B429">
        <v>164</v>
      </c>
      <c r="C429">
        <v>2.214843848047698</v>
      </c>
      <c r="D429">
        <v>0</v>
      </c>
      <c r="E429">
        <v>428</v>
      </c>
      <c r="F429">
        <f t="shared" si="36"/>
        <v>0.99270887409805386</v>
      </c>
      <c r="G429">
        <f t="shared" si="37"/>
        <v>0.12053668025532452</v>
      </c>
      <c r="H429">
        <f t="shared" si="38"/>
        <v>2.2705494707840699</v>
      </c>
      <c r="I429">
        <f>C429-H429</f>
        <v>-5.5705622736371918E-2</v>
      </c>
      <c r="J429">
        <f t="shared" si="39"/>
        <v>-5.5705622736371918E-2</v>
      </c>
      <c r="K429">
        <f t="shared" si="40"/>
        <v>2.3681062924823086</v>
      </c>
      <c r="L429">
        <f t="shared" si="41"/>
        <v>0</v>
      </c>
    </row>
    <row r="430" spans="1:12" x14ac:dyDescent="0.25">
      <c r="A430" s="1">
        <v>45005</v>
      </c>
      <c r="B430">
        <v>151</v>
      </c>
      <c r="C430">
        <v>2.1789769472931693</v>
      </c>
      <c r="D430">
        <v>0</v>
      </c>
      <c r="E430">
        <v>429</v>
      </c>
      <c r="F430">
        <f t="shared" si="36"/>
        <v>1</v>
      </c>
      <c r="G430">
        <f t="shared" si="37"/>
        <v>2.4513811119897255E-16</v>
      </c>
      <c r="H430">
        <f t="shared" si="38"/>
        <v>2.2682295848126106</v>
      </c>
      <c r="I430">
        <f>C430-H430</f>
        <v>-8.9252637519441347E-2</v>
      </c>
      <c r="J430">
        <f t="shared" si="39"/>
        <v>-8.9252637519441347E-2</v>
      </c>
      <c r="K430">
        <f t="shared" si="40"/>
        <v>2.3657864065108494</v>
      </c>
      <c r="L430">
        <f t="shared" si="41"/>
        <v>0</v>
      </c>
    </row>
    <row r="431" spans="1:12" x14ac:dyDescent="0.25">
      <c r="A431" s="1">
        <v>45012</v>
      </c>
      <c r="B431">
        <v>178</v>
      </c>
      <c r="C431">
        <v>2.2504200023088941</v>
      </c>
      <c r="D431">
        <v>0</v>
      </c>
      <c r="E431">
        <v>430</v>
      </c>
      <c r="F431">
        <f t="shared" si="36"/>
        <v>0.99270887409805475</v>
      </c>
      <c r="G431">
        <f t="shared" si="37"/>
        <v>-0.12053668025531697</v>
      </c>
      <c r="H431">
        <f t="shared" si="38"/>
        <v>2.2653727496648046</v>
      </c>
      <c r="I431">
        <f>C431-H431</f>
        <v>-1.4952747355910567E-2</v>
      </c>
      <c r="J431">
        <f t="shared" si="39"/>
        <v>-1.4952747355910567E-2</v>
      </c>
      <c r="K431">
        <f t="shared" si="40"/>
        <v>2.3629295713630434</v>
      </c>
      <c r="L431">
        <f t="shared" si="41"/>
        <v>0</v>
      </c>
    </row>
    <row r="432" spans="1:12" x14ac:dyDescent="0.25">
      <c r="A432" s="1">
        <v>45019</v>
      </c>
      <c r="B432">
        <v>166</v>
      </c>
      <c r="C432">
        <v>2.220108088040055</v>
      </c>
      <c r="D432">
        <v>0</v>
      </c>
      <c r="E432">
        <v>431</v>
      </c>
      <c r="F432">
        <f t="shared" si="36"/>
        <v>0.97094181742605146</v>
      </c>
      <c r="G432">
        <f t="shared" si="37"/>
        <v>-0.2393156642875599</v>
      </c>
      <c r="H432">
        <f t="shared" si="38"/>
        <v>2.2620206244301384</v>
      </c>
      <c r="I432">
        <f>C432-H432</f>
        <v>-4.191253639008341E-2</v>
      </c>
      <c r="J432">
        <f t="shared" si="39"/>
        <v>-4.191253639008341E-2</v>
      </c>
      <c r="K432">
        <f t="shared" si="40"/>
        <v>2.3595774461283772</v>
      </c>
      <c r="L432">
        <f t="shared" si="41"/>
        <v>0</v>
      </c>
    </row>
    <row r="433" spans="1:12" x14ac:dyDescent="0.25">
      <c r="A433" s="1">
        <v>45026</v>
      </c>
      <c r="B433">
        <v>170</v>
      </c>
      <c r="C433">
        <v>2.2304489213782741</v>
      </c>
      <c r="D433">
        <v>0</v>
      </c>
      <c r="E433">
        <v>432</v>
      </c>
      <c r="F433">
        <f t="shared" si="36"/>
        <v>0.93501624268541617</v>
      </c>
      <c r="G433">
        <f t="shared" si="37"/>
        <v>-0.35460488704253218</v>
      </c>
      <c r="H433">
        <f t="shared" si="38"/>
        <v>2.2582220906428629</v>
      </c>
      <c r="I433">
        <f>C433-H433</f>
        <v>-2.7773169264588837E-2</v>
      </c>
      <c r="J433">
        <f t="shared" si="39"/>
        <v>-2.7773169264588837E-2</v>
      </c>
      <c r="K433">
        <f t="shared" si="40"/>
        <v>2.3557789123411017</v>
      </c>
      <c r="L433">
        <f t="shared" si="41"/>
        <v>0</v>
      </c>
    </row>
    <row r="434" spans="1:12" x14ac:dyDescent="0.25">
      <c r="A434" s="1">
        <v>45033</v>
      </c>
      <c r="B434">
        <v>158</v>
      </c>
      <c r="C434">
        <v>2.1986570869544226</v>
      </c>
      <c r="D434">
        <v>0</v>
      </c>
      <c r="E434">
        <v>433</v>
      </c>
      <c r="F434">
        <f t="shared" si="36"/>
        <v>0.88545602565321102</v>
      </c>
      <c r="G434">
        <f t="shared" si="37"/>
        <v>-0.4647231720437664</v>
      </c>
      <c r="H434">
        <f t="shared" si="38"/>
        <v>2.2540325394791489</v>
      </c>
      <c r="I434">
        <f>C434-H434</f>
        <v>-5.537545252472631E-2</v>
      </c>
      <c r="J434">
        <f t="shared" si="39"/>
        <v>-5.537545252472631E-2</v>
      </c>
      <c r="K434">
        <f t="shared" si="40"/>
        <v>2.3515893611773877</v>
      </c>
      <c r="L434">
        <f t="shared" si="41"/>
        <v>0</v>
      </c>
    </row>
    <row r="435" spans="1:12" x14ac:dyDescent="0.25">
      <c r="A435" s="1">
        <v>45040</v>
      </c>
      <c r="B435">
        <v>167</v>
      </c>
      <c r="C435">
        <v>2.2227164711475833</v>
      </c>
      <c r="D435">
        <v>0</v>
      </c>
      <c r="E435">
        <v>434</v>
      </c>
      <c r="F435">
        <f t="shared" si="36"/>
        <v>0.82298386589366113</v>
      </c>
      <c r="G435">
        <f t="shared" si="37"/>
        <v>-0.56806474673114893</v>
      </c>
      <c r="H435">
        <f t="shared" si="38"/>
        <v>2.2495130640290117</v>
      </c>
      <c r="I435">
        <f>C435-H435</f>
        <v>-2.6796592881428438E-2</v>
      </c>
      <c r="J435">
        <f t="shared" si="39"/>
        <v>-2.6796592881428438E-2</v>
      </c>
      <c r="K435">
        <f t="shared" si="40"/>
        <v>2.3470698857272505</v>
      </c>
      <c r="L435">
        <f t="shared" si="41"/>
        <v>0</v>
      </c>
    </row>
    <row r="436" spans="1:12" x14ac:dyDescent="0.25">
      <c r="A436" s="1">
        <v>45047</v>
      </c>
      <c r="B436">
        <v>149</v>
      </c>
      <c r="C436">
        <v>2.173186268412274</v>
      </c>
      <c r="D436">
        <v>0</v>
      </c>
      <c r="E436">
        <v>435</v>
      </c>
      <c r="F436">
        <f t="shared" si="36"/>
        <v>0.74851074817110108</v>
      </c>
      <c r="G436">
        <f t="shared" si="37"/>
        <v>-0.66312265824079519</v>
      </c>
      <c r="H436">
        <f t="shared" si="38"/>
        <v>2.2447295684214859</v>
      </c>
      <c r="I436">
        <f>C436-H436</f>
        <v>-7.154330000921183E-2</v>
      </c>
      <c r="J436">
        <f t="shared" si="39"/>
        <v>-7.154330000921183E-2</v>
      </c>
      <c r="K436">
        <f t="shared" si="40"/>
        <v>2.3422863901197246</v>
      </c>
      <c r="L436">
        <f t="shared" si="41"/>
        <v>0</v>
      </c>
    </row>
    <row r="437" spans="1:12" x14ac:dyDescent="0.25">
      <c r="A437" s="1">
        <v>45054</v>
      </c>
      <c r="B437">
        <v>174</v>
      </c>
      <c r="C437">
        <v>2.2405492482825999</v>
      </c>
      <c r="D437">
        <v>0</v>
      </c>
      <c r="E437">
        <v>436</v>
      </c>
      <c r="F437">
        <f t="shared" si="36"/>
        <v>0.66312265824079963</v>
      </c>
      <c r="G437">
        <f t="shared" si="37"/>
        <v>-0.7485107481710972</v>
      </c>
      <c r="H437">
        <f t="shared" si="38"/>
        <v>2.2397518067940245</v>
      </c>
      <c r="I437">
        <f>C437-H437</f>
        <v>7.9744148857541219E-4</v>
      </c>
      <c r="J437">
        <f t="shared" si="39"/>
        <v>7.9744148857541219E-4</v>
      </c>
      <c r="K437">
        <f t="shared" si="40"/>
        <v>2.3373086284922633</v>
      </c>
      <c r="L437">
        <f t="shared" si="41"/>
        <v>0</v>
      </c>
    </row>
    <row r="438" spans="1:12" x14ac:dyDescent="0.25">
      <c r="A438" s="1">
        <v>45061</v>
      </c>
      <c r="B438">
        <v>158</v>
      </c>
      <c r="C438">
        <v>2.1986570869544226</v>
      </c>
      <c r="D438">
        <v>0</v>
      </c>
      <c r="E438">
        <v>437</v>
      </c>
      <c r="F438">
        <f t="shared" si="36"/>
        <v>0.56806474673115959</v>
      </c>
      <c r="G438">
        <f t="shared" si="37"/>
        <v>-0.8229838658936538</v>
      </c>
      <c r="H438">
        <f t="shared" si="38"/>
        <v>2.2346523661200974</v>
      </c>
      <c r="I438">
        <f>C438-H438</f>
        <v>-3.5995279165674798E-2</v>
      </c>
      <c r="J438">
        <f t="shared" si="39"/>
        <v>-3.5995279165674798E-2</v>
      </c>
      <c r="K438">
        <f t="shared" si="40"/>
        <v>2.3322091878183362</v>
      </c>
      <c r="L438">
        <f t="shared" si="41"/>
        <v>0</v>
      </c>
    </row>
    <row r="439" spans="1:12" x14ac:dyDescent="0.25">
      <c r="A439" s="1">
        <v>45068</v>
      </c>
      <c r="B439">
        <v>134</v>
      </c>
      <c r="C439">
        <v>2.1271047983648077</v>
      </c>
      <c r="D439">
        <v>0</v>
      </c>
      <c r="E439">
        <v>438</v>
      </c>
      <c r="F439">
        <f t="shared" si="36"/>
        <v>0.46472317204376529</v>
      </c>
      <c r="G439">
        <f t="shared" si="37"/>
        <v>-0.88545602565321158</v>
      </c>
      <c r="H439">
        <f t="shared" si="38"/>
        <v>2.2295056077276714</v>
      </c>
      <c r="I439">
        <f>C439-H439</f>
        <v>-0.10240080936286367</v>
      </c>
      <c r="J439">
        <f t="shared" si="39"/>
        <v>-0.10240080936286367</v>
      </c>
      <c r="K439">
        <f t="shared" si="40"/>
        <v>2.3270624294259101</v>
      </c>
      <c r="L439">
        <f t="shared" si="41"/>
        <v>0</v>
      </c>
    </row>
    <row r="440" spans="1:12" x14ac:dyDescent="0.25">
      <c r="A440" s="1">
        <v>45075</v>
      </c>
      <c r="B440">
        <v>150</v>
      </c>
      <c r="C440">
        <v>2.1760912590556813</v>
      </c>
      <c r="D440">
        <v>0</v>
      </c>
      <c r="E440">
        <v>439</v>
      </c>
      <c r="F440">
        <f t="shared" si="36"/>
        <v>0.35460488704253768</v>
      </c>
      <c r="G440">
        <f t="shared" si="37"/>
        <v>-0.93501624268541406</v>
      </c>
      <c r="H440">
        <f t="shared" si="38"/>
        <v>2.2243865829436</v>
      </c>
      <c r="I440">
        <f>C440-H440</f>
        <v>-4.8295323887918684E-2</v>
      </c>
      <c r="J440">
        <f t="shared" si="39"/>
        <v>-4.8295323887918684E-2</v>
      </c>
      <c r="K440">
        <f t="shared" si="40"/>
        <v>2.3219434046418388</v>
      </c>
      <c r="L440">
        <f t="shared" si="41"/>
        <v>0</v>
      </c>
    </row>
    <row r="441" spans="1:12" x14ac:dyDescent="0.25">
      <c r="A441" s="1">
        <v>45082</v>
      </c>
      <c r="B441">
        <v>164</v>
      </c>
      <c r="C441">
        <v>2.214843848047698</v>
      </c>
      <c r="D441">
        <v>0</v>
      </c>
      <c r="E441">
        <v>440</v>
      </c>
      <c r="F441">
        <f t="shared" si="36"/>
        <v>0.23931566428755871</v>
      </c>
      <c r="G441">
        <f t="shared" si="37"/>
        <v>-0.97094181742605179</v>
      </c>
      <c r="H441">
        <f t="shared" si="38"/>
        <v>2.2193699386762726</v>
      </c>
      <c r="I441">
        <f>C441-H441</f>
        <v>-4.5260906285746749E-3</v>
      </c>
      <c r="J441">
        <f t="shared" si="39"/>
        <v>-4.5260906285746749E-3</v>
      </c>
      <c r="K441">
        <f t="shared" si="40"/>
        <v>2.3169267603745114</v>
      </c>
      <c r="L441">
        <f t="shared" si="41"/>
        <v>0</v>
      </c>
    </row>
    <row r="442" spans="1:12" x14ac:dyDescent="0.25">
      <c r="A442" s="1">
        <v>45089</v>
      </c>
      <c r="B442">
        <v>179</v>
      </c>
      <c r="C442">
        <v>2.2528530309798933</v>
      </c>
      <c r="D442">
        <v>0</v>
      </c>
      <c r="E442">
        <v>441</v>
      </c>
      <c r="F442">
        <f t="shared" si="36"/>
        <v>0.12053668025532986</v>
      </c>
      <c r="G442">
        <f t="shared" si="37"/>
        <v>-0.9927088740980532</v>
      </c>
      <c r="H442">
        <f t="shared" si="38"/>
        <v>2.2145288288956073</v>
      </c>
      <c r="I442">
        <f>C442-H442</f>
        <v>3.8324202084285997E-2</v>
      </c>
      <c r="J442">
        <f t="shared" si="39"/>
        <v>3.8324202084285997E-2</v>
      </c>
      <c r="K442">
        <f t="shared" si="40"/>
        <v>2.3120856505938461</v>
      </c>
      <c r="L442">
        <f t="shared" si="41"/>
        <v>0</v>
      </c>
    </row>
    <row r="443" spans="1:12" x14ac:dyDescent="0.25">
      <c r="A443" s="1">
        <v>45096</v>
      </c>
      <c r="B443">
        <v>120</v>
      </c>
      <c r="C443">
        <v>2.0791812460476247</v>
      </c>
      <c r="D443">
        <v>0</v>
      </c>
      <c r="E443">
        <v>442</v>
      </c>
      <c r="F443">
        <f t="shared" si="36"/>
        <v>-1.4699613054558469E-15</v>
      </c>
      <c r="G443">
        <f t="shared" si="37"/>
        <v>-1</v>
      </c>
      <c r="H443">
        <f t="shared" si="38"/>
        <v>2.2099338478834358</v>
      </c>
      <c r="I443">
        <f>C443-H443</f>
        <v>-0.13075260183581117</v>
      </c>
      <c r="J443">
        <f t="shared" si="39"/>
        <v>-0.13075260183581117</v>
      </c>
      <c r="K443">
        <f t="shared" si="40"/>
        <v>2.3074906695816746</v>
      </c>
      <c r="L443">
        <f t="shared" si="41"/>
        <v>0</v>
      </c>
    </row>
    <row r="444" spans="1:12" x14ac:dyDescent="0.25">
      <c r="A444" s="1">
        <v>45103</v>
      </c>
      <c r="B444">
        <v>162</v>
      </c>
      <c r="C444">
        <v>2.2095150145426308</v>
      </c>
      <c r="D444">
        <v>0</v>
      </c>
      <c r="E444">
        <v>443</v>
      </c>
      <c r="F444">
        <f t="shared" si="36"/>
        <v>-0.12053668025531868</v>
      </c>
      <c r="G444">
        <f t="shared" si="37"/>
        <v>-0.99270887409805453</v>
      </c>
      <c r="H444">
        <f t="shared" si="38"/>
        <v>2.2056520008099119</v>
      </c>
      <c r="I444">
        <f>C444-H444</f>
        <v>3.8630137327189118E-3</v>
      </c>
      <c r="J444">
        <f t="shared" si="39"/>
        <v>3.8630137327189118E-3</v>
      </c>
      <c r="K444">
        <f t="shared" si="40"/>
        <v>2.3032088225081506</v>
      </c>
      <c r="L444">
        <f t="shared" si="41"/>
        <v>0</v>
      </c>
    </row>
    <row r="445" spans="1:12" x14ac:dyDescent="0.25">
      <c r="A445" s="1">
        <v>45110</v>
      </c>
      <c r="B445">
        <v>151</v>
      </c>
      <c r="C445">
        <v>2.1789769472931693</v>
      </c>
      <c r="D445">
        <v>0</v>
      </c>
      <c r="E445">
        <v>444</v>
      </c>
      <c r="F445">
        <f t="shared" si="36"/>
        <v>-0.23931566428755469</v>
      </c>
      <c r="G445">
        <f t="shared" si="37"/>
        <v>-0.97094181742605279</v>
      </c>
      <c r="H445">
        <f t="shared" si="38"/>
        <v>2.2017457266472471</v>
      </c>
      <c r="I445">
        <f>C445-H445</f>
        <v>-2.2768779354077839E-2</v>
      </c>
      <c r="J445">
        <f t="shared" si="39"/>
        <v>-2.2768779354077839E-2</v>
      </c>
      <c r="K445">
        <f t="shared" si="40"/>
        <v>2.2993025483454859</v>
      </c>
      <c r="L445">
        <f t="shared" si="41"/>
        <v>0</v>
      </c>
    </row>
    <row r="446" spans="1:12" x14ac:dyDescent="0.25">
      <c r="A446" s="1">
        <v>45117</v>
      </c>
      <c r="B446">
        <v>150</v>
      </c>
      <c r="C446">
        <v>2.1760912590556813</v>
      </c>
      <c r="D446">
        <v>0</v>
      </c>
      <c r="E446">
        <v>445</v>
      </c>
      <c r="F446">
        <f t="shared" si="36"/>
        <v>-0.35460488704253379</v>
      </c>
      <c r="G446">
        <f t="shared" si="37"/>
        <v>-0.9350162426854155</v>
      </c>
      <c r="H446">
        <f t="shared" si="38"/>
        <v>2.1982719876688965</v>
      </c>
      <c r="I446">
        <f>C446-H446</f>
        <v>-2.2180728613215184E-2</v>
      </c>
      <c r="J446">
        <f t="shared" si="39"/>
        <v>-2.2180728613215184E-2</v>
      </c>
      <c r="K446">
        <f t="shared" si="40"/>
        <v>2.2958288093671353</v>
      </c>
      <c r="L446">
        <f t="shared" si="41"/>
        <v>0</v>
      </c>
    </row>
    <row r="447" spans="1:12" x14ac:dyDescent="0.25">
      <c r="A447" s="1">
        <v>45124</v>
      </c>
      <c r="B447">
        <v>142</v>
      </c>
      <c r="C447">
        <v>2.1522883443830563</v>
      </c>
      <c r="D447">
        <v>0</v>
      </c>
      <c r="E447">
        <v>446</v>
      </c>
      <c r="F447">
        <f t="shared" si="36"/>
        <v>-0.4647231720437679</v>
      </c>
      <c r="G447">
        <f t="shared" si="37"/>
        <v>-0.88545602565321024</v>
      </c>
      <c r="H447">
        <f t="shared" si="38"/>
        <v>2.1952814388113429</v>
      </c>
      <c r="I447">
        <f>C447-H447</f>
        <v>-4.2993094428286582E-2</v>
      </c>
      <c r="J447">
        <f t="shared" si="39"/>
        <v>-4.2993094428286582E-2</v>
      </c>
      <c r="K447">
        <f t="shared" si="40"/>
        <v>2.2928382605095816</v>
      </c>
      <c r="L447">
        <f t="shared" si="41"/>
        <v>0</v>
      </c>
    </row>
    <row r="448" spans="1:12" x14ac:dyDescent="0.25">
      <c r="A448" s="1">
        <v>45131</v>
      </c>
      <c r="B448">
        <v>138</v>
      </c>
      <c r="C448">
        <v>2.1398790864012365</v>
      </c>
      <c r="D448">
        <v>0</v>
      </c>
      <c r="E448">
        <v>447</v>
      </c>
      <c r="F448">
        <f t="shared" si="36"/>
        <v>-0.56806474673115037</v>
      </c>
      <c r="G448">
        <f t="shared" si="37"/>
        <v>-0.82298386589366013</v>
      </c>
      <c r="H448">
        <f t="shared" si="38"/>
        <v>2.1928176890110604</v>
      </c>
      <c r="I448">
        <f>C448-H448</f>
        <v>-5.293860260982397E-2</v>
      </c>
      <c r="J448">
        <f t="shared" si="39"/>
        <v>-5.293860260982397E-2</v>
      </c>
      <c r="K448">
        <f t="shared" si="40"/>
        <v>2.2903745107092992</v>
      </c>
      <c r="L448">
        <f t="shared" si="41"/>
        <v>0</v>
      </c>
    </row>
    <row r="449" spans="1:12" x14ac:dyDescent="0.25">
      <c r="A449" s="1">
        <v>45138</v>
      </c>
      <c r="B449">
        <v>144</v>
      </c>
      <c r="C449">
        <v>2.1583624920952498</v>
      </c>
      <c r="D449">
        <v>0</v>
      </c>
      <c r="E449">
        <v>448</v>
      </c>
      <c r="F449">
        <f t="shared" si="36"/>
        <v>-0.6631226582407912</v>
      </c>
      <c r="G449">
        <f t="shared" si="37"/>
        <v>-0.74851074817110463</v>
      </c>
      <c r="H449">
        <f t="shared" si="38"/>
        <v>2.1909166652880172</v>
      </c>
      <c r="I449">
        <f>C449-H449</f>
        <v>-3.2554173192767433E-2</v>
      </c>
      <c r="J449">
        <f t="shared" si="39"/>
        <v>-3.2554173192767433E-2</v>
      </c>
      <c r="K449">
        <f t="shared" si="40"/>
        <v>2.288473486986256</v>
      </c>
      <c r="L449">
        <f t="shared" si="41"/>
        <v>0</v>
      </c>
    </row>
    <row r="450" spans="1:12" x14ac:dyDescent="0.25">
      <c r="A450" s="1">
        <v>45145</v>
      </c>
      <c r="B450">
        <v>141</v>
      </c>
      <c r="C450">
        <v>2.1492191126553797</v>
      </c>
      <c r="D450">
        <v>0</v>
      </c>
      <c r="E450">
        <v>449</v>
      </c>
      <c r="F450">
        <f t="shared" si="36"/>
        <v>-0.74851074817110308</v>
      </c>
      <c r="G450">
        <f t="shared" si="37"/>
        <v>-0.66312265824079297</v>
      </c>
      <c r="H450">
        <f t="shared" si="38"/>
        <v>2.1896060888488282</v>
      </c>
      <c r="I450">
        <f>C450-H450</f>
        <v>-4.0386976193448554E-2</v>
      </c>
      <c r="J450">
        <f t="shared" si="39"/>
        <v>-4.0386976193448554E-2</v>
      </c>
      <c r="K450">
        <f t="shared" si="40"/>
        <v>2.287162910547067</v>
      </c>
      <c r="L450">
        <f t="shared" si="41"/>
        <v>0</v>
      </c>
    </row>
    <row r="451" spans="1:12" x14ac:dyDescent="0.25">
      <c r="A451" s="1">
        <v>45152</v>
      </c>
      <c r="B451">
        <v>147</v>
      </c>
      <c r="C451">
        <v>2.167317334748176</v>
      </c>
      <c r="D451">
        <v>0</v>
      </c>
      <c r="E451">
        <v>450</v>
      </c>
      <c r="F451">
        <f t="shared" ref="F451:F470" si="42">SIN(2*PI()*E451/52)</f>
        <v>-0.82298386589365469</v>
      </c>
      <c r="G451">
        <f t="shared" ref="G451:G470" si="43">COS(2*PI()*E451/52)</f>
        <v>-0.56806474673115825</v>
      </c>
      <c r="H451">
        <f t="shared" ref="H451:H470" si="44">$P$2+$N$2*F451+$O$2*G451</f>
        <v>2.1889050708491387</v>
      </c>
      <c r="I451">
        <f>C451-H451</f>
        <v>-2.1587736100962651E-2</v>
      </c>
      <c r="J451">
        <f t="shared" ref="J451:J470" si="45">IF(D451,"",I451)</f>
        <v>-2.1587736100962651E-2</v>
      </c>
      <c r="K451">
        <f t="shared" ref="K451:K470" si="46">H451+$S$2</f>
        <v>2.2864618925473774</v>
      </c>
      <c r="L451">
        <f t="shared" ref="L451:L470" si="47">IF(C451-K451&gt;0,10^C451-10^K451,0)</f>
        <v>0</v>
      </c>
    </row>
    <row r="452" spans="1:12" x14ac:dyDescent="0.25">
      <c r="A452" s="1">
        <v>45159</v>
      </c>
      <c r="B452">
        <v>162</v>
      </c>
      <c r="C452">
        <v>2.2095150145426308</v>
      </c>
      <c r="D452">
        <v>0</v>
      </c>
      <c r="E452">
        <v>451</v>
      </c>
      <c r="F452">
        <f t="shared" si="42"/>
        <v>-0.88545602565320913</v>
      </c>
      <c r="G452">
        <f t="shared" si="43"/>
        <v>-0.46472317204377006</v>
      </c>
      <c r="H452">
        <f t="shared" si="44"/>
        <v>2.1888238337099377</v>
      </c>
      <c r="I452">
        <f>C452-H452</f>
        <v>2.0691180832693057E-2</v>
      </c>
      <c r="J452">
        <f t="shared" si="45"/>
        <v>2.0691180832693057E-2</v>
      </c>
      <c r="K452">
        <f t="shared" si="46"/>
        <v>2.2863806554081765</v>
      </c>
      <c r="L452">
        <f t="shared" si="47"/>
        <v>0</v>
      </c>
    </row>
    <row r="453" spans="1:12" x14ac:dyDescent="0.25">
      <c r="A453" s="1">
        <v>45166</v>
      </c>
      <c r="B453">
        <v>157</v>
      </c>
      <c r="C453">
        <v>2.1958996524092336</v>
      </c>
      <c r="D453">
        <v>0</v>
      </c>
      <c r="E453">
        <v>452</v>
      </c>
      <c r="F453">
        <f t="shared" si="42"/>
        <v>-0.93501624268541461</v>
      </c>
      <c r="G453">
        <f t="shared" si="43"/>
        <v>-0.35460488704253607</v>
      </c>
      <c r="H453">
        <f t="shared" si="44"/>
        <v>2.1893635620516463</v>
      </c>
      <c r="I453">
        <f>C453-H453</f>
        <v>6.5360903575872875E-3</v>
      </c>
      <c r="J453">
        <f t="shared" si="45"/>
        <v>6.5360903575872875E-3</v>
      </c>
      <c r="K453">
        <f t="shared" si="46"/>
        <v>2.286920383749885</v>
      </c>
      <c r="L453">
        <f t="shared" si="47"/>
        <v>0</v>
      </c>
    </row>
    <row r="454" spans="1:12" x14ac:dyDescent="0.25">
      <c r="A454" s="1">
        <v>45173</v>
      </c>
      <c r="B454">
        <v>153</v>
      </c>
      <c r="C454">
        <v>2.1846914308175989</v>
      </c>
      <c r="D454">
        <v>0</v>
      </c>
      <c r="E454">
        <v>453</v>
      </c>
      <c r="F454">
        <f t="shared" si="42"/>
        <v>-0.97094181742605223</v>
      </c>
      <c r="G454">
        <f t="shared" si="43"/>
        <v>-0.23931566428755705</v>
      </c>
      <c r="H454">
        <f t="shared" si="44"/>
        <v>2.190516385419679</v>
      </c>
      <c r="I454">
        <f>C454-H454</f>
        <v>-5.8249546020801013E-3</v>
      </c>
      <c r="J454">
        <f t="shared" si="45"/>
        <v>-5.8249546020801013E-3</v>
      </c>
      <c r="K454">
        <f t="shared" si="46"/>
        <v>2.2880732071179177</v>
      </c>
      <c r="L454">
        <f t="shared" si="47"/>
        <v>0</v>
      </c>
    </row>
    <row r="455" spans="1:12" x14ac:dyDescent="0.25">
      <c r="A455" s="1">
        <v>45180</v>
      </c>
      <c r="B455">
        <v>158</v>
      </c>
      <c r="C455">
        <v>2.1986570869544226</v>
      </c>
      <c r="D455">
        <v>0</v>
      </c>
      <c r="E455">
        <v>454</v>
      </c>
      <c r="F455">
        <f t="shared" si="42"/>
        <v>-0.99270887409805342</v>
      </c>
      <c r="G455">
        <f t="shared" si="43"/>
        <v>-0.12053668025532815</v>
      </c>
      <c r="H455">
        <f t="shared" si="44"/>
        <v>2.1922654930533985</v>
      </c>
      <c r="I455">
        <f>C455-H455</f>
        <v>6.3915939010241729E-3</v>
      </c>
      <c r="J455">
        <f t="shared" si="45"/>
        <v>6.3915939010241729E-3</v>
      </c>
      <c r="K455">
        <f t="shared" si="46"/>
        <v>2.2898223147516372</v>
      </c>
      <c r="L455">
        <f t="shared" si="47"/>
        <v>0</v>
      </c>
    </row>
    <row r="456" spans="1:12" x14ac:dyDescent="0.25">
      <c r="A456" s="1">
        <v>45187</v>
      </c>
      <c r="B456">
        <v>147</v>
      </c>
      <c r="C456">
        <v>2.167317334748176</v>
      </c>
      <c r="D456">
        <v>0</v>
      </c>
      <c r="E456">
        <v>455</v>
      </c>
      <c r="F456">
        <f t="shared" si="42"/>
        <v>-1</v>
      </c>
      <c r="G456">
        <f t="shared" si="43"/>
        <v>-3.9203666354903355E-15</v>
      </c>
      <c r="H456">
        <f t="shared" si="44"/>
        <v>2.1945853790248577</v>
      </c>
      <c r="I456">
        <f>C456-H456</f>
        <v>-2.7268044276681724E-2</v>
      </c>
      <c r="J456">
        <f t="shared" si="45"/>
        <v>-2.7268044276681724E-2</v>
      </c>
      <c r="K456">
        <f t="shared" si="46"/>
        <v>2.2921422007230965</v>
      </c>
      <c r="L456">
        <f t="shared" si="47"/>
        <v>0</v>
      </c>
    </row>
    <row r="457" spans="1:12" x14ac:dyDescent="0.25">
      <c r="A457" s="1">
        <v>45194</v>
      </c>
      <c r="B457">
        <v>165</v>
      </c>
      <c r="C457">
        <v>2.2174839442139063</v>
      </c>
      <c r="D457">
        <v>0</v>
      </c>
      <c r="E457">
        <v>456</v>
      </c>
      <c r="F457">
        <f t="shared" si="42"/>
        <v>-0.99270887409805431</v>
      </c>
      <c r="G457">
        <f t="shared" si="43"/>
        <v>0.12053668025532038</v>
      </c>
      <c r="H457">
        <f t="shared" si="44"/>
        <v>2.1974422141726637</v>
      </c>
      <c r="I457">
        <f>C457-H457</f>
        <v>2.0041730041242545E-2</v>
      </c>
      <c r="J457">
        <f t="shared" si="45"/>
        <v>2.0041730041242545E-2</v>
      </c>
      <c r="K457">
        <f t="shared" si="46"/>
        <v>2.2949990358709025</v>
      </c>
      <c r="L457">
        <f t="shared" si="47"/>
        <v>0</v>
      </c>
    </row>
    <row r="458" spans="1:12" x14ac:dyDescent="0.25">
      <c r="A458" s="1">
        <v>45201</v>
      </c>
      <c r="B458">
        <v>175</v>
      </c>
      <c r="C458">
        <v>2.2430380486862944</v>
      </c>
      <c r="D458">
        <v>0</v>
      </c>
      <c r="E458">
        <v>457</v>
      </c>
      <c r="F458">
        <f t="shared" si="42"/>
        <v>-0.97094181742605234</v>
      </c>
      <c r="G458">
        <f t="shared" si="43"/>
        <v>0.23931566428755635</v>
      </c>
      <c r="H458">
        <f t="shared" si="44"/>
        <v>2.2007943394073299</v>
      </c>
      <c r="I458">
        <f>C458-H458</f>
        <v>4.2243709278964481E-2</v>
      </c>
      <c r="J458">
        <f t="shared" si="45"/>
        <v>4.2243709278964481E-2</v>
      </c>
      <c r="K458">
        <f t="shared" si="46"/>
        <v>2.2983511611055687</v>
      </c>
      <c r="L458">
        <f t="shared" si="47"/>
        <v>0</v>
      </c>
    </row>
    <row r="459" spans="1:12" x14ac:dyDescent="0.25">
      <c r="A459" s="1">
        <v>45208</v>
      </c>
      <c r="B459">
        <v>155</v>
      </c>
      <c r="C459">
        <v>2.1903316981702914</v>
      </c>
      <c r="D459">
        <v>0</v>
      </c>
      <c r="E459">
        <v>458</v>
      </c>
      <c r="F459">
        <f t="shared" si="42"/>
        <v>-0.93501624268541739</v>
      </c>
      <c r="G459">
        <f t="shared" si="43"/>
        <v>0.35460488704252874</v>
      </c>
      <c r="H459">
        <f t="shared" si="44"/>
        <v>2.2045928731946054</v>
      </c>
      <c r="I459">
        <f>C459-H459</f>
        <v>-1.426117502431401E-2</v>
      </c>
      <c r="J459">
        <f t="shared" si="45"/>
        <v>-1.426117502431401E-2</v>
      </c>
      <c r="K459">
        <f t="shared" si="46"/>
        <v>2.3021496948928442</v>
      </c>
      <c r="L459">
        <f t="shared" si="47"/>
        <v>0</v>
      </c>
    </row>
    <row r="460" spans="1:12" x14ac:dyDescent="0.25">
      <c r="A460" s="1">
        <v>45215</v>
      </c>
      <c r="B460">
        <v>175</v>
      </c>
      <c r="C460">
        <v>2.2430380486862944</v>
      </c>
      <c r="D460">
        <v>0</v>
      </c>
      <c r="E460">
        <v>459</v>
      </c>
      <c r="F460">
        <f t="shared" si="42"/>
        <v>-0.88545602565320947</v>
      </c>
      <c r="G460">
        <f t="shared" si="43"/>
        <v>0.46472317204376939</v>
      </c>
      <c r="H460">
        <f t="shared" si="44"/>
        <v>2.2087824243583194</v>
      </c>
      <c r="I460">
        <f>C460-H460</f>
        <v>3.4255624327975021E-2</v>
      </c>
      <c r="J460">
        <f t="shared" si="45"/>
        <v>3.4255624327975021E-2</v>
      </c>
      <c r="K460">
        <f t="shared" si="46"/>
        <v>2.3063392460565582</v>
      </c>
      <c r="L460">
        <f t="shared" si="47"/>
        <v>0</v>
      </c>
    </row>
    <row r="461" spans="1:12" x14ac:dyDescent="0.25">
      <c r="A461" s="1">
        <v>45222</v>
      </c>
      <c r="B461">
        <v>176</v>
      </c>
      <c r="C461">
        <v>2.2455126678141499</v>
      </c>
      <c r="D461">
        <v>0</v>
      </c>
      <c r="E461">
        <v>460</v>
      </c>
      <c r="F461">
        <f t="shared" si="42"/>
        <v>-0.82298386589365513</v>
      </c>
      <c r="G461">
        <f t="shared" si="43"/>
        <v>0.56806474673115759</v>
      </c>
      <c r="H461">
        <f t="shared" si="44"/>
        <v>2.213301899808457</v>
      </c>
      <c r="I461">
        <f>C461-H461</f>
        <v>3.2210768005692891E-2</v>
      </c>
      <c r="J461">
        <f t="shared" si="45"/>
        <v>3.2210768005692891E-2</v>
      </c>
      <c r="K461">
        <f t="shared" si="46"/>
        <v>2.3108587215066958</v>
      </c>
      <c r="L461">
        <f t="shared" si="47"/>
        <v>0</v>
      </c>
    </row>
    <row r="462" spans="1:12" x14ac:dyDescent="0.25">
      <c r="A462" s="1">
        <v>45229</v>
      </c>
      <c r="B462">
        <v>159</v>
      </c>
      <c r="C462">
        <v>2.2013971243204513</v>
      </c>
      <c r="D462">
        <v>0</v>
      </c>
      <c r="E462">
        <v>461</v>
      </c>
      <c r="F462">
        <f t="shared" si="42"/>
        <v>-0.74851074817110352</v>
      </c>
      <c r="G462">
        <f t="shared" si="43"/>
        <v>0.66312265824079242</v>
      </c>
      <c r="H462">
        <f t="shared" si="44"/>
        <v>2.218085395415982</v>
      </c>
      <c r="I462">
        <f>C462-H462</f>
        <v>-1.6688271095530727E-2</v>
      </c>
      <c r="J462">
        <f t="shared" si="45"/>
        <v>-1.6688271095530727E-2</v>
      </c>
      <c r="K462">
        <f t="shared" si="46"/>
        <v>2.3156422171142208</v>
      </c>
      <c r="L462">
        <f t="shared" si="47"/>
        <v>0</v>
      </c>
    </row>
    <row r="463" spans="1:12" x14ac:dyDescent="0.25">
      <c r="A463" s="1">
        <v>45236</v>
      </c>
      <c r="B463">
        <v>170</v>
      </c>
      <c r="C463">
        <v>2.2304489213782741</v>
      </c>
      <c r="D463">
        <v>0</v>
      </c>
      <c r="E463">
        <v>462</v>
      </c>
      <c r="F463">
        <f t="shared" si="42"/>
        <v>-0.66312265824079708</v>
      </c>
      <c r="G463">
        <f t="shared" si="43"/>
        <v>0.74851074817109953</v>
      </c>
      <c r="H463">
        <f t="shared" si="44"/>
        <v>2.2230631570434438</v>
      </c>
      <c r="I463">
        <f>C463-H463</f>
        <v>7.3857643348302915E-3</v>
      </c>
      <c r="J463">
        <f t="shared" si="45"/>
        <v>7.3857643348302915E-3</v>
      </c>
      <c r="K463">
        <f t="shared" si="46"/>
        <v>2.3206199787416826</v>
      </c>
      <c r="L463">
        <f t="shared" si="47"/>
        <v>0</v>
      </c>
    </row>
    <row r="464" spans="1:12" x14ac:dyDescent="0.25">
      <c r="A464" s="1">
        <v>45243</v>
      </c>
      <c r="B464">
        <v>185</v>
      </c>
      <c r="C464">
        <v>2.2671717284030137</v>
      </c>
      <c r="D464">
        <v>0</v>
      </c>
      <c r="E464">
        <v>463</v>
      </c>
      <c r="F464">
        <f t="shared" si="42"/>
        <v>-0.56806474673115681</v>
      </c>
      <c r="G464">
        <f t="shared" si="43"/>
        <v>0.82298386589365569</v>
      </c>
      <c r="H464">
        <f t="shared" si="44"/>
        <v>2.2281625977173709</v>
      </c>
      <c r="I464">
        <f>C464-H464</f>
        <v>3.9009130685642823E-2</v>
      </c>
      <c r="J464">
        <f t="shared" si="45"/>
        <v>3.9009130685642823E-2</v>
      </c>
      <c r="K464">
        <f t="shared" si="46"/>
        <v>2.3257194194156097</v>
      </c>
      <c r="L464">
        <f t="shared" si="47"/>
        <v>0</v>
      </c>
    </row>
    <row r="465" spans="1:12" x14ac:dyDescent="0.25">
      <c r="A465" s="1">
        <v>45250</v>
      </c>
      <c r="B465">
        <v>150</v>
      </c>
      <c r="C465">
        <v>2.1760912590556813</v>
      </c>
      <c r="D465">
        <v>0</v>
      </c>
      <c r="E465">
        <v>464</v>
      </c>
      <c r="F465">
        <f t="shared" si="42"/>
        <v>-0.46472317204376856</v>
      </c>
      <c r="G465">
        <f t="shared" si="43"/>
        <v>0.88545602565320991</v>
      </c>
      <c r="H465">
        <f t="shared" si="44"/>
        <v>2.2333093561097965</v>
      </c>
      <c r="I465">
        <f>C465-H465</f>
        <v>-5.721809705411518E-2</v>
      </c>
      <c r="J465">
        <f t="shared" si="45"/>
        <v>-5.721809705411518E-2</v>
      </c>
      <c r="K465">
        <f t="shared" si="46"/>
        <v>2.3308661778080353</v>
      </c>
      <c r="L465">
        <f t="shared" si="47"/>
        <v>0</v>
      </c>
    </row>
    <row r="466" spans="1:12" x14ac:dyDescent="0.25">
      <c r="A466" s="1">
        <v>45257</v>
      </c>
      <c r="B466">
        <v>186</v>
      </c>
      <c r="C466">
        <v>2.2695129442179165</v>
      </c>
      <c r="D466">
        <v>0</v>
      </c>
      <c r="E466">
        <v>465</v>
      </c>
      <c r="F466">
        <f t="shared" si="42"/>
        <v>-0.35460488704254112</v>
      </c>
      <c r="G466">
        <f t="shared" si="43"/>
        <v>0.93501624268541272</v>
      </c>
      <c r="H466">
        <f t="shared" si="44"/>
        <v>2.2384283808938683</v>
      </c>
      <c r="I466">
        <f>C466-H466</f>
        <v>3.1084563324048187E-2</v>
      </c>
      <c r="J466">
        <f t="shared" si="45"/>
        <v>3.1084563324048187E-2</v>
      </c>
      <c r="K466">
        <f t="shared" si="46"/>
        <v>2.3359852025921071</v>
      </c>
      <c r="L466">
        <f t="shared" si="47"/>
        <v>0</v>
      </c>
    </row>
    <row r="467" spans="1:12" x14ac:dyDescent="0.25">
      <c r="A467" s="1">
        <v>45264</v>
      </c>
      <c r="B467">
        <v>209</v>
      </c>
      <c r="C467">
        <v>2.3201462861110542</v>
      </c>
      <c r="D467">
        <v>0</v>
      </c>
      <c r="E467">
        <v>466</v>
      </c>
      <c r="F467">
        <f t="shared" si="42"/>
        <v>-0.23931566428755538</v>
      </c>
      <c r="G467">
        <f t="shared" si="43"/>
        <v>0.97094181742605257</v>
      </c>
      <c r="H467">
        <f t="shared" si="44"/>
        <v>2.2434450251611957</v>
      </c>
      <c r="I467">
        <f>C467-H467</f>
        <v>7.6701260949858519E-2</v>
      </c>
      <c r="J467">
        <f t="shared" si="45"/>
        <v>7.6701260949858519E-2</v>
      </c>
      <c r="K467">
        <f t="shared" si="46"/>
        <v>2.3410018468594345</v>
      </c>
      <c r="L467">
        <f t="shared" si="47"/>
        <v>0</v>
      </c>
    </row>
    <row r="468" spans="1:12" x14ac:dyDescent="0.25">
      <c r="A468" s="1">
        <v>45271</v>
      </c>
      <c r="B468">
        <v>199</v>
      </c>
      <c r="C468">
        <v>2.2988530764097068</v>
      </c>
      <c r="D468">
        <v>0</v>
      </c>
      <c r="E468">
        <v>467</v>
      </c>
      <c r="F468">
        <f t="shared" si="42"/>
        <v>-0.12053668025532646</v>
      </c>
      <c r="G468">
        <f t="shared" si="43"/>
        <v>0.99270887409805353</v>
      </c>
      <c r="H468">
        <f t="shared" si="44"/>
        <v>2.248286134941861</v>
      </c>
      <c r="I468">
        <f>C468-H468</f>
        <v>5.0566941467845794E-2</v>
      </c>
      <c r="J468">
        <f t="shared" si="45"/>
        <v>5.0566941467845794E-2</v>
      </c>
      <c r="K468">
        <f t="shared" si="46"/>
        <v>2.3458429566400998</v>
      </c>
      <c r="L468">
        <f t="shared" si="47"/>
        <v>0</v>
      </c>
    </row>
    <row r="469" spans="1:12" x14ac:dyDescent="0.25">
      <c r="A469" s="1">
        <v>45278</v>
      </c>
      <c r="B469">
        <v>202</v>
      </c>
      <c r="C469">
        <v>2.3053513694466239</v>
      </c>
      <c r="D469">
        <v>0</v>
      </c>
      <c r="E469">
        <v>468</v>
      </c>
      <c r="F469">
        <f t="shared" si="42"/>
        <v>-2.205267218835516E-15</v>
      </c>
      <c r="G469">
        <f t="shared" si="43"/>
        <v>1</v>
      </c>
      <c r="H469">
        <f t="shared" si="44"/>
        <v>2.2528811159540325</v>
      </c>
      <c r="I469">
        <f>C469-H469</f>
        <v>5.2470253492591379E-2</v>
      </c>
      <c r="J469">
        <f t="shared" si="45"/>
        <v>5.2470253492591379E-2</v>
      </c>
      <c r="K469">
        <f t="shared" si="46"/>
        <v>2.3504379376522713</v>
      </c>
      <c r="L469">
        <f t="shared" si="47"/>
        <v>0</v>
      </c>
    </row>
    <row r="470" spans="1:12" x14ac:dyDescent="0.25">
      <c r="A470" s="1">
        <v>45285</v>
      </c>
      <c r="B470">
        <v>198</v>
      </c>
      <c r="C470">
        <v>2.2966651902615309</v>
      </c>
      <c r="D470">
        <v>0</v>
      </c>
      <c r="E470">
        <v>469</v>
      </c>
      <c r="F470">
        <f t="shared" si="42"/>
        <v>0.12053668025531503</v>
      </c>
      <c r="G470">
        <f t="shared" si="43"/>
        <v>0.99270887409805497</v>
      </c>
      <c r="H470">
        <f t="shared" si="44"/>
        <v>2.2571629630275565</v>
      </c>
      <c r="I470">
        <f>C470-H470</f>
        <v>3.9502227233974452E-2</v>
      </c>
      <c r="J470">
        <f t="shared" si="45"/>
        <v>3.9502227233974452E-2</v>
      </c>
      <c r="K470">
        <f t="shared" si="46"/>
        <v>2.3547197847257952</v>
      </c>
      <c r="L470">
        <f t="shared" si="4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df_mortality_brussels</vt:lpstr>
      <vt:lpstr>week chart</vt:lpstr>
      <vt:lpstr>log-mortity and histogram distr</vt:lpstr>
      <vt:lpstr>excess mortality simple</vt:lpstr>
      <vt:lpstr>excess mortality linear model</vt:lpstr>
      <vt:lpstr>week chart -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Damien Delforge</cp:lastModifiedBy>
  <dcterms:created xsi:type="dcterms:W3CDTF">2025-03-29T19:14:07Z</dcterms:created>
  <dcterms:modified xsi:type="dcterms:W3CDTF">2025-03-30T20:07:46Z</dcterms:modified>
</cp:coreProperties>
</file>